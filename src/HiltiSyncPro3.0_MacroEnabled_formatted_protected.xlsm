
<file path=[Content_Types].xml><?xml version="1.0" encoding="utf-8"?>
<Types xmlns="http://schemas.openxmlformats.org/package/2006/content-types">
  <Default Extension="bin" ContentType="application/vnd.openxmlformats-officedocument.spreadsheetml.customProperty"/>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rinterSettings/printerSettings1.bin" ContentType="application/vnd.openxmlformats-officedocument.spreadsheetml.printerSettings"/>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2.bin" ContentType="application/vnd.openxmlformats-officedocument.spreadsheetml.printerSettings"/>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Zs-HOME\HiltiSyncPro3.0 Development\"/>
    </mc:Choice>
  </mc:AlternateContent>
  <xr:revisionPtr revIDLastSave="0" documentId="13_ncr:1_{996A2803-5B1A-401B-919D-7E4B4927896F}" xr6:coauthVersionLast="47" xr6:coauthVersionMax="47" xr10:uidLastSave="{00000000-0000-0000-0000-000000000000}"/>
  <bookViews>
    <workbookView xWindow="-110" yWindow="-110" windowWidth="19420" windowHeight="10300" tabRatio="759" activeTab="1" xr2:uid="{AA763B6F-D7C9-476F-B0DB-C87D4CAF2CAC}"/>
  </bookViews>
  <sheets>
    <sheet name="Jobsite Management" sheetId="9" r:id="rId1"/>
    <sheet name="Resource Mgmt - NEW" sheetId="10" r:id="rId2"/>
    <sheet name="High Performing Tools" sheetId="11" r:id="rId3"/>
    <sheet name="Resource Mgmt - High Perf Tools" sheetId="5" state="hidden" r:id="rId4"/>
    <sheet name="VDC Prefab" sheetId="6" r:id="rId5"/>
    <sheet name="Work package Solutions" sheetId="8" r:id="rId6"/>
  </sheets>
  <functionGroups builtInGroupCount="19"/>
  <definedNames>
    <definedName name="D11C105">'Resource Mgmt - High Perf Tools'!$D$11</definedName>
    <definedName name="SAPCrosstab1">#REF!</definedName>
    <definedName name="valuevx">42.314159</definedName>
    <definedName name="vertex42_copyright" hidden="1">"© 2013-2019 Vertex42 LLC"</definedName>
    <definedName name="vertex42_id" hidden="1">"simple-weekly-schedule.xlsx"</definedName>
    <definedName name="vertex42_title" hidden="1">"Simple Weekly Schedule Template"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0" l="1"/>
  <c r="B2" i="11"/>
  <c r="B2" i="6"/>
  <c r="B30" i="11" l="1"/>
  <c r="C13" i="10"/>
  <c r="J18" i="10"/>
  <c r="G18" i="10"/>
  <c r="I6" i="10"/>
  <c r="I7" i="10"/>
  <c r="I8" i="10"/>
  <c r="I9" i="10"/>
  <c r="I10" i="10"/>
  <c r="I11" i="10"/>
  <c r="I12" i="10"/>
  <c r="I13" i="10"/>
  <c r="I14" i="10"/>
  <c r="I15" i="10"/>
  <c r="I16" i="10"/>
  <c r="I17" i="10"/>
  <c r="I18" i="10"/>
  <c r="I5" i="10"/>
  <c r="E6" i="10"/>
  <c r="E7" i="10"/>
  <c r="E8" i="10"/>
  <c r="E9" i="10"/>
  <c r="E10" i="10"/>
  <c r="E11" i="10"/>
  <c r="E12" i="10"/>
  <c r="E13" i="10"/>
  <c r="E14" i="10"/>
  <c r="E15" i="10"/>
  <c r="E16" i="10"/>
  <c r="E5" i="10"/>
  <c r="I5" i="8"/>
  <c r="I6" i="8"/>
  <c r="I7" i="8"/>
  <c r="I8" i="8"/>
  <c r="I4" i="8"/>
  <c r="E5" i="8"/>
  <c r="E6" i="8"/>
  <c r="E7" i="8"/>
  <c r="E8" i="8"/>
  <c r="E4" i="8"/>
  <c r="I7" i="6"/>
  <c r="I8" i="6"/>
  <c r="J7" i="6"/>
  <c r="K7" i="6" s="1"/>
  <c r="J8" i="6"/>
  <c r="K8" i="6" s="1"/>
  <c r="I5" i="6"/>
  <c r="I6" i="6"/>
  <c r="I4" i="6"/>
  <c r="E5" i="6"/>
  <c r="E6" i="6"/>
  <c r="E7" i="6"/>
  <c r="E8" i="6"/>
  <c r="E4" i="6"/>
  <c r="E6" i="9"/>
  <c r="K7" i="9"/>
  <c r="K8" i="9"/>
  <c r="J7" i="9"/>
  <c r="J8" i="9"/>
  <c r="I8" i="9"/>
  <c r="I7" i="9"/>
  <c r="C7" i="9"/>
  <c r="C8" i="9"/>
  <c r="G7" i="9"/>
  <c r="G8" i="9"/>
  <c r="E8" i="9"/>
  <c r="E7" i="9"/>
  <c r="C5" i="9"/>
  <c r="E4" i="9"/>
  <c r="K7" i="8"/>
  <c r="K8" i="8"/>
  <c r="G7" i="8"/>
  <c r="G8" i="8"/>
  <c r="C7" i="8"/>
  <c r="C8" i="8"/>
  <c r="G7" i="6"/>
  <c r="G8" i="6"/>
  <c r="C7" i="6"/>
  <c r="C8" i="6"/>
  <c r="I6" i="9" l="1"/>
  <c r="I5" i="9"/>
  <c r="I4" i="9"/>
  <c r="E5" i="9"/>
  <c r="G2" i="10"/>
  <c r="B27" i="10"/>
  <c r="G5" i="9"/>
  <c r="G6" i="9"/>
  <c r="C6" i="9"/>
  <c r="G4" i="9"/>
  <c r="C4" i="9"/>
  <c r="G5" i="6"/>
  <c r="G6" i="6"/>
  <c r="G4" i="6"/>
  <c r="C5" i="6"/>
  <c r="C6" i="6"/>
  <c r="C4" i="6"/>
  <c r="G5" i="8"/>
  <c r="G6" i="8"/>
  <c r="G4" i="8"/>
  <c r="C4" i="8"/>
  <c r="C5" i="8"/>
  <c r="C6" i="8"/>
  <c r="B2" i="10"/>
  <c r="D41" i="11"/>
  <c r="L18" i="11"/>
  <c r="L19" i="11"/>
  <c r="H18" i="11"/>
  <c r="H19" i="11"/>
  <c r="C19" i="11"/>
  <c r="C18" i="11"/>
  <c r="K18" i="10"/>
  <c r="C17" i="10"/>
  <c r="C18" i="10"/>
  <c r="J11" i="10"/>
  <c r="K11" i="10" s="1"/>
  <c r="G11" i="10"/>
  <c r="C11" i="10"/>
  <c r="J5" i="10"/>
  <c r="K5" i="10" s="1"/>
  <c r="G5" i="10"/>
  <c r="C5" i="10"/>
  <c r="K10" i="10"/>
  <c r="G7" i="10"/>
  <c r="G8" i="10"/>
  <c r="G9" i="10"/>
  <c r="G10" i="10"/>
  <c r="G12" i="10"/>
  <c r="G13" i="10"/>
  <c r="G14" i="10"/>
  <c r="G15" i="10"/>
  <c r="G16" i="10"/>
  <c r="G17" i="10"/>
  <c r="G6" i="10"/>
  <c r="C6" i="10"/>
  <c r="C16" i="10"/>
  <c r="C15" i="10"/>
  <c r="C14" i="10"/>
  <c r="C12" i="10"/>
  <c r="C9" i="10"/>
  <c r="C8" i="10"/>
  <c r="C7" i="10"/>
  <c r="H5" i="11"/>
  <c r="H6" i="11"/>
  <c r="H7" i="11"/>
  <c r="H8" i="11"/>
  <c r="H13" i="11"/>
  <c r="H14" i="11"/>
  <c r="H15" i="11"/>
  <c r="H16" i="11"/>
  <c r="C5" i="11"/>
  <c r="C6" i="11"/>
  <c r="C7" i="11"/>
  <c r="C8" i="11"/>
  <c r="C10" i="11"/>
  <c r="C11" i="11"/>
  <c r="C13" i="11"/>
  <c r="C14" i="11"/>
  <c r="C15" i="11"/>
  <c r="C16" i="11"/>
  <c r="C17" i="11"/>
  <c r="K6" i="11"/>
  <c r="K7" i="11"/>
  <c r="K8" i="11"/>
  <c r="K13" i="11"/>
  <c r="K14" i="11"/>
  <c r="K15" i="11"/>
  <c r="K16" i="11"/>
  <c r="B21" i="10"/>
  <c r="J7" i="10"/>
  <c r="K7" i="10" s="1"/>
  <c r="J8" i="10"/>
  <c r="K8" i="10"/>
  <c r="J9" i="10"/>
  <c r="K9" i="10"/>
  <c r="J12" i="10"/>
  <c r="K12" i="10" s="1"/>
  <c r="J13" i="10"/>
  <c r="K13" i="10" s="1"/>
  <c r="J14" i="10"/>
  <c r="K14" i="10" s="1"/>
  <c r="J15" i="10"/>
  <c r="K15" i="10" s="1"/>
  <c r="J16" i="10"/>
  <c r="K16" i="10" s="1"/>
  <c r="J17" i="10"/>
  <c r="K17" i="10" s="1"/>
  <c r="C45" i="11"/>
  <c r="D45" i="11" s="1"/>
  <c r="B22" i="11"/>
  <c r="C22" i="11" s="1"/>
  <c r="C155" i="5"/>
  <c r="C157" i="5"/>
  <c r="J6" i="10"/>
  <c r="K6" i="10" s="1"/>
  <c r="J54" i="5"/>
  <c r="I54" i="5"/>
  <c r="J65" i="5"/>
  <c r="I65" i="5"/>
  <c r="B166" i="5"/>
  <c r="J5" i="8"/>
  <c r="K5" i="8" s="1"/>
  <c r="J6" i="8"/>
  <c r="K6" i="8" s="1"/>
  <c r="J7" i="8"/>
  <c r="J8" i="8"/>
  <c r="J4" i="8"/>
  <c r="K4" i="8" s="1"/>
  <c r="B2" i="8"/>
  <c r="B11" i="5" s="1"/>
  <c r="F2" i="8"/>
  <c r="H11" i="5" s="1"/>
  <c r="B168" i="5"/>
  <c r="B11" i="8"/>
  <c r="B161" i="5"/>
  <c r="B159" i="5"/>
  <c r="F2" i="6"/>
  <c r="H10" i="5" s="1"/>
  <c r="C2" i="6"/>
  <c r="C10" i="5" s="1"/>
  <c r="F2" i="9"/>
  <c r="G2" i="9" s="1"/>
  <c r="I12" i="5" s="1"/>
  <c r="B2" i="9"/>
  <c r="B12" i="5" s="1"/>
  <c r="B11" i="9"/>
  <c r="J6" i="9"/>
  <c r="K6" i="9" s="1"/>
  <c r="J5" i="9"/>
  <c r="K5" i="9" s="1"/>
  <c r="J4" i="9"/>
  <c r="K4" i="9" s="1"/>
  <c r="J5" i="6"/>
  <c r="K5" i="6" s="1"/>
  <c r="J6" i="6"/>
  <c r="K6" i="6" s="1"/>
  <c r="J4" i="6"/>
  <c r="K4" i="6" s="1"/>
  <c r="C149" i="5"/>
  <c r="D149" i="5"/>
  <c r="H9" i="5"/>
  <c r="I9" i="5"/>
  <c r="I8" i="5"/>
  <c r="J131" i="5"/>
  <c r="I127" i="5"/>
  <c r="I131" i="5"/>
  <c r="J119" i="5"/>
  <c r="I119" i="5"/>
  <c r="J107" i="5"/>
  <c r="I107" i="5"/>
  <c r="I66" i="5"/>
  <c r="I68" i="5"/>
  <c r="I74" i="5"/>
  <c r="J74" i="5"/>
  <c r="J76" i="5"/>
  <c r="I72" i="5"/>
  <c r="I55" i="5"/>
  <c r="I49" i="5"/>
  <c r="D118" i="5"/>
  <c r="C118" i="5"/>
  <c r="C105" i="5"/>
  <c r="C99" i="5"/>
  <c r="C111" i="5"/>
  <c r="D112" i="5"/>
  <c r="D113" i="5"/>
  <c r="D83" i="5"/>
  <c r="D80" i="5"/>
  <c r="C80" i="5"/>
  <c r="J55" i="5"/>
  <c r="J49" i="5"/>
  <c r="I34" i="5"/>
  <c r="D153" i="5"/>
  <c r="D155" i="5"/>
  <c r="B9" i="5"/>
  <c r="B3" i="5"/>
  <c r="J132" i="5"/>
  <c r="J133" i="5"/>
  <c r="I76" i="5"/>
  <c r="J77" i="5"/>
  <c r="J78" i="5"/>
  <c r="J68" i="5"/>
  <c r="J50" i="5"/>
  <c r="J51" i="5"/>
  <c r="J56" i="5"/>
  <c r="J57" i="5"/>
  <c r="D119" i="5"/>
  <c r="D120" i="5"/>
  <c r="D82" i="5"/>
  <c r="B8" i="5"/>
  <c r="M8" i="5"/>
  <c r="P8" i="5"/>
  <c r="C9" i="5"/>
  <c r="N9" i="5"/>
  <c r="M9" i="5"/>
  <c r="C164" i="5"/>
  <c r="P9" i="5"/>
  <c r="H17" i="11"/>
  <c r="G2" i="11"/>
  <c r="H2" i="11" s="1"/>
  <c r="C8" i="5"/>
  <c r="N8" i="5"/>
  <c r="B4" i="5"/>
  <c r="B10" i="5"/>
  <c r="M11" i="5" l="1"/>
  <c r="J2" i="8"/>
  <c r="C9" i="8" s="1"/>
  <c r="P11" i="5" s="1"/>
  <c r="B13" i="5"/>
  <c r="C13" i="5" s="1"/>
  <c r="H12" i="5"/>
  <c r="M12" i="5" s="1"/>
  <c r="M10" i="5"/>
  <c r="H13" i="5"/>
  <c r="G2" i="6"/>
  <c r="J2" i="6"/>
  <c r="C9" i="6" s="1"/>
  <c r="P10" i="5" s="1"/>
  <c r="B9" i="6"/>
  <c r="C2" i="9"/>
  <c r="J2" i="9"/>
  <c r="C9" i="9" s="1"/>
  <c r="B9" i="9"/>
  <c r="G2" i="8"/>
  <c r="I11" i="5" s="1"/>
  <c r="C2" i="8"/>
  <c r="C11" i="5" s="1"/>
  <c r="D49" i="11"/>
  <c r="C51" i="11"/>
  <c r="K2" i="8"/>
  <c r="K2" i="11"/>
  <c r="B35" i="10" s="1"/>
  <c r="B56" i="10"/>
  <c r="J2" i="10"/>
  <c r="C20" i="10" s="1"/>
  <c r="B20" i="11"/>
  <c r="C2" i="11"/>
  <c r="B55" i="10"/>
  <c r="L10" i="11"/>
  <c r="C2" i="10"/>
  <c r="B19" i="10"/>
  <c r="B5" i="5" l="1"/>
  <c r="K2" i="6"/>
  <c r="I10" i="5"/>
  <c r="N10" i="5" s="1"/>
  <c r="M13" i="5"/>
  <c r="I13" i="5"/>
  <c r="N13" i="5" s="1"/>
  <c r="K2" i="9"/>
  <c r="C12" i="5"/>
  <c r="N12" i="5" s="1"/>
  <c r="P12" i="5"/>
  <c r="P13" i="5"/>
  <c r="C20" i="11"/>
  <c r="L2" i="11"/>
  <c r="B58" i="10"/>
  <c r="N11" i="5"/>
  <c r="B29" i="11"/>
  <c r="K17" i="11"/>
  <c r="D51" i="11"/>
  <c r="B31" i="11" s="1"/>
  <c r="B57" i="10"/>
  <c r="C19" i="10"/>
  <c r="K2" i="10"/>
  <c r="B59" i="10" l="1"/>
  <c r="B33" i="10"/>
</calcChain>
</file>

<file path=xl/sharedStrings.xml><?xml version="1.0" encoding="utf-8"?>
<sst xmlns="http://schemas.openxmlformats.org/spreadsheetml/2006/main" count="588" uniqueCount="264">
  <si>
    <t>Priority Questions</t>
  </si>
  <si>
    <t>Additional Questions</t>
  </si>
  <si>
    <t>*** Questions marked Purple are located in SSA ***</t>
  </si>
  <si>
    <r>
      <t xml:space="preserve">General 
</t>
    </r>
    <r>
      <rPr>
        <sz val="12"/>
        <rFont val="Calibri"/>
        <family val="2"/>
      </rPr>
      <t>The general costs are the basis of all the calculations for the total cost of ownership of the tool crib</t>
    </r>
  </si>
  <si>
    <r>
      <t xml:space="preserve">Back-up / Rental / Peak Demand 
</t>
    </r>
    <r>
      <rPr>
        <sz val="12"/>
        <rFont val="Calibri"/>
        <family val="2"/>
      </rPr>
      <t>In case of emergencies, replacement tools are often available on the construction site or in the warehouse adding to unecessary cost</t>
    </r>
  </si>
  <si>
    <t>Organization Units</t>
  </si>
  <si>
    <t>What is the approximate value of "back-up" tools in your warehouse?</t>
  </si>
  <si>
    <t>$</t>
  </si>
  <si>
    <r>
      <t>Additional:</t>
    </r>
    <r>
      <rPr>
        <b/>
        <sz val="11"/>
        <color rgb="FF000000"/>
        <rFont val="Calibri"/>
        <family val="2"/>
      </rPr>
      <t xml:space="preserve"> </t>
    </r>
    <r>
      <rPr>
        <sz val="11"/>
        <color rgb="FF000000"/>
        <rFont val="Calibri"/>
        <family val="2"/>
      </rPr>
      <t xml:space="preserve"> If known, how many back-up" tools are available?</t>
    </r>
  </si>
  <si>
    <t>#</t>
  </si>
  <si>
    <t>Number of Warehouses</t>
  </si>
  <si>
    <t>On average, how many tools do you typically buy for peak demand?</t>
  </si>
  <si>
    <t>Number of Teams</t>
  </si>
  <si>
    <t xml:space="preserve">Additional: What is the average cost of a peak demand tool? </t>
  </si>
  <si>
    <t>Number of Equipped vehicles / vans</t>
  </si>
  <si>
    <t>How many tools are rented in a month?</t>
  </si>
  <si>
    <t>Total Company Employees</t>
  </si>
  <si>
    <t>How many minutes does it take to collect and return rented tool?</t>
  </si>
  <si>
    <t>mins.</t>
  </si>
  <si>
    <t>Number of Construction Sites (within a normal year)</t>
  </si>
  <si>
    <t xml:space="preserve">What percentage of rented tools are kept longer than originally planned? </t>
  </si>
  <si>
    <t>%</t>
  </si>
  <si>
    <t>Number of Production Facilities or Fab Shops</t>
  </si>
  <si>
    <t>What is the average cost of a rented tool?</t>
  </si>
  <si>
    <t>Field Employee Information</t>
  </si>
  <si>
    <t>Do you rent your printers?</t>
  </si>
  <si>
    <t>Yes / No</t>
  </si>
  <si>
    <t>95% of the industry rents printers and copiers --&gt; this translates to fleet and services.</t>
  </si>
  <si>
    <r>
      <t xml:space="preserve">How much does a worker cost per hour? </t>
    </r>
    <r>
      <rPr>
        <sz val="11"/>
        <color rgb="FF671A3D"/>
        <rFont val="Calibri"/>
        <family val="2"/>
      </rPr>
      <t>(Loaded labor rate.  What number do they use when they bid work?)</t>
    </r>
  </si>
  <si>
    <r>
      <t xml:space="preserve">Work Safety 
</t>
    </r>
    <r>
      <rPr>
        <sz val="12"/>
        <rFont val="Calibri"/>
        <family val="2"/>
      </rPr>
      <t>With our safety innovation, we can impact safety on your jobsites and  related costs</t>
    </r>
  </si>
  <si>
    <t>*** Input necessary for additional field calculations. ***</t>
  </si>
  <si>
    <t>How many field employees work at the company?</t>
  </si>
  <si>
    <t>What is the average number of accidents at work each year?</t>
  </si>
  <si>
    <t>How many days do your field employees work each year?</t>
  </si>
  <si>
    <t xml:space="preserve">days </t>
  </si>
  <si>
    <t>How many days, on average, a worker can't work due to the accident?</t>
  </si>
  <si>
    <t>How many working hours do your field employees average per day?</t>
  </si>
  <si>
    <t>hrs.</t>
  </si>
  <si>
    <t xml:space="preserve">What is the total cost of fines  you need to pay per year due to outdated safety checks? </t>
  </si>
  <si>
    <r>
      <t xml:space="preserve">Purchase 
</t>
    </r>
    <r>
      <rPr>
        <sz val="12"/>
        <rFont val="Calibri"/>
        <family val="2"/>
      </rPr>
      <t>The aim of the following questions is to establish the direct costs of your tool crib</t>
    </r>
  </si>
  <si>
    <t>What is your EMR rating? (experience modifier rate)</t>
  </si>
  <si>
    <r>
      <t xml:space="preserve">Process Optimization 
</t>
    </r>
    <r>
      <rPr>
        <sz val="12"/>
        <rFont val="Calibri"/>
        <family val="2"/>
      </rPr>
      <t xml:space="preserve">On average 80 hours are spent searching for assets every year and 40 hours on completing inventory </t>
    </r>
  </si>
  <si>
    <t>Tool Information</t>
  </si>
  <si>
    <t>How many tools do you have in your company?  (all tools not just Hilti relevant)</t>
  </si>
  <si>
    <t>How many hours are spent daily searching for assets? (foremen, warehouse personnel, field workers, etc.)</t>
  </si>
  <si>
    <r>
      <t>What are the average purchase price per tool?</t>
    </r>
    <r>
      <rPr>
        <sz val="11"/>
        <color rgb="FF671A3D"/>
        <rFont val="Calibri"/>
        <family val="2"/>
      </rPr>
      <t xml:space="preserve"> (general estimate) </t>
    </r>
  </si>
  <si>
    <t>*** Input from C25. ***</t>
  </si>
  <si>
    <t>What is your yearly tool spend in a typical year?</t>
  </si>
  <si>
    <r>
      <rPr>
        <b/>
        <sz val="11"/>
        <color rgb="FF000000"/>
        <rFont val="Calibri"/>
        <family val="2"/>
      </rPr>
      <t>Calculation:</t>
    </r>
    <r>
      <rPr>
        <sz val="11"/>
        <color rgb="FF000000"/>
        <rFont val="Calibri"/>
        <family val="2"/>
      </rPr>
      <t xml:space="preserve"> Labor cost searching for assets. (hours invested x working days x avg labor rate)</t>
    </r>
  </si>
  <si>
    <t>Total cost</t>
  </si>
  <si>
    <r>
      <rPr>
        <b/>
        <sz val="11"/>
        <color rgb="FF671A3D"/>
        <rFont val="Calibri"/>
        <family val="2"/>
      </rPr>
      <t>How much time is spent purchasing a new tool?</t>
    </r>
    <r>
      <rPr>
        <sz val="11"/>
        <color rgb="FF671A3D"/>
        <rFont val="Calibri"/>
        <family val="2"/>
      </rPr>
      <t xml:space="preserve"> (requestings quotes, processing cost estimates, processing the purchase etc.)</t>
    </r>
  </si>
  <si>
    <t>How often do you complete inventory checks each year?</t>
  </si>
  <si>
    <t>What is the average lifetime of a tool?</t>
  </si>
  <si>
    <t>yrs.</t>
  </si>
  <si>
    <t>Number of hours spent during this process (each time)?</t>
  </si>
  <si>
    <t>Battery / Charger Information</t>
  </si>
  <si>
    <t>How many batteries are purchased on average per month?</t>
  </si>
  <si>
    <r>
      <rPr>
        <b/>
        <sz val="11"/>
        <color rgb="FF000000"/>
        <rFont val="Calibri"/>
        <family val="2"/>
      </rPr>
      <t xml:space="preserve">Calculation:  </t>
    </r>
    <r>
      <rPr>
        <sz val="11"/>
        <color rgb="FF000000"/>
        <rFont val="Calibri"/>
        <family val="2"/>
      </rPr>
      <t>Labor cost invested to complete inventory check (time invested x # of inventory checks per year x avg labor cost)</t>
    </r>
  </si>
  <si>
    <t>How much does a battery cost on average?</t>
  </si>
  <si>
    <t>If known: How much does a purchase process cost?</t>
  </si>
  <si>
    <t>How many battery chargers are purchased on average per month?</t>
  </si>
  <si>
    <t>How long does it take to process an invoice? (New purchase, repair, theft, etc.)</t>
  </si>
  <si>
    <t>What is the average cost of a battery charger?</t>
  </si>
  <si>
    <t>If known: How much does it cost to process an invoice?</t>
  </si>
  <si>
    <t>Cost Reporting</t>
  </si>
  <si>
    <t>How many invoices need to be processed each month for purchases and repairs?</t>
  </si>
  <si>
    <t>What is the current value of all your assets?  Total inventory value?</t>
  </si>
  <si>
    <r>
      <t xml:space="preserve">Assets and Material Cost Optimization 
</t>
    </r>
    <r>
      <rPr>
        <sz val="12"/>
        <rFont val="Calibri"/>
        <family val="2"/>
      </rPr>
      <t>On average 30% of tools in the warehouse are excess tools. Varying consumption of materials between jobsites with similar needs</t>
    </r>
  </si>
  <si>
    <t xml:space="preserve">Do you reallocate costs of assets to projects / jobsites?  </t>
  </si>
  <si>
    <t>Tools</t>
  </si>
  <si>
    <r>
      <t xml:space="preserve">What is the percentage do you add to bids to cover asset costs? </t>
    </r>
    <r>
      <rPr>
        <sz val="11"/>
        <color rgb="FF671A3D"/>
        <rFont val="Calibri"/>
        <family val="2"/>
      </rPr>
      <t>(% of labor)</t>
    </r>
  </si>
  <si>
    <t>Do you ever buy new tools because you cannot find the ones you need?</t>
  </si>
  <si>
    <t>If YES, what is the number of tools per month do you purchase?</t>
  </si>
  <si>
    <r>
      <t xml:space="preserve">Repair and Maintenance 
</t>
    </r>
    <r>
      <rPr>
        <sz val="12"/>
        <rFont val="Calibri"/>
        <family val="2"/>
      </rPr>
      <t>The aim of the following questions is to define the indirect cost linked to repairs, theft, purchasing and administration. Indirect cost consist of the time invested by the company to manage these events.</t>
    </r>
  </si>
  <si>
    <t>*** Input from C41. ***</t>
  </si>
  <si>
    <r>
      <rPr>
        <b/>
        <sz val="11"/>
        <color rgb="FF000000"/>
        <rFont val="Calibri"/>
        <family val="2"/>
      </rPr>
      <t>Calculation: Cost of redundant tool purchases</t>
    </r>
    <r>
      <rPr>
        <sz val="11"/>
        <color rgb="FF000000"/>
        <rFont val="Calibri"/>
        <family val="2"/>
      </rPr>
      <t xml:space="preserve"> (# of tools per month x avg tool price x 12 months)</t>
    </r>
  </si>
  <si>
    <t>Do you fix broken tools yourself?</t>
  </si>
  <si>
    <t>YES</t>
  </si>
  <si>
    <t>Commodities (ladders, scaffording, carts, etc…)</t>
  </si>
  <si>
    <t>If YES, how long does it typically take to fix a broken tool?</t>
  </si>
  <si>
    <t>Do you ever buy new commodities because you cannot find the ones you need?</t>
  </si>
  <si>
    <t>Do you send your broken tools to a dedicated repair center to get fixed? (distributor or manufacturer)</t>
  </si>
  <si>
    <t>If YES, what is the number of commodies per month do you purchase?</t>
  </si>
  <si>
    <t>If YES, how long does it typically take to receive the tool back from the repair center?</t>
  </si>
  <si>
    <t>days</t>
  </si>
  <si>
    <t>What is the average purchase price of a commodity?</t>
  </si>
  <si>
    <t>How many tool repairs in an average month?</t>
  </si>
  <si>
    <r>
      <rPr>
        <b/>
        <sz val="11"/>
        <color rgb="FF000000"/>
        <rFont val="Calibri"/>
        <family val="2"/>
      </rPr>
      <t>Calculation: Cost of redundant commodity purchases</t>
    </r>
    <r>
      <rPr>
        <sz val="11"/>
        <color rgb="FF000000"/>
        <rFont val="Calibri"/>
        <family val="2"/>
      </rPr>
      <t xml:space="preserve"> (# of commodities per month x avg commodity price x 12 months)</t>
    </r>
  </si>
  <si>
    <t xml:space="preserve">What is the averge cost per tool repair? </t>
  </si>
  <si>
    <t xml:space="preserve">How much do you spend on a yearly basis due to items you cannot find quickly (i.e. ladders, rock carts, scaffold pieces) </t>
  </si>
  <si>
    <r>
      <t xml:space="preserve">How often do you complete tool maintenance per year? </t>
    </r>
    <r>
      <rPr>
        <sz val="11"/>
        <color rgb="FF671A3D"/>
        <rFont val="Calibri"/>
        <family val="2"/>
      </rPr>
      <t>(not a must have question)</t>
    </r>
  </si>
  <si>
    <t>Consumables</t>
  </si>
  <si>
    <r>
      <t xml:space="preserve">What is the average cost for tool maintenance per item? </t>
    </r>
    <r>
      <rPr>
        <sz val="11"/>
        <color rgb="FF671A3D"/>
        <rFont val="Calibri"/>
        <family val="2"/>
      </rPr>
      <t>(not a must have question)</t>
    </r>
  </si>
  <si>
    <t>How much additional expense do you accrue per employee each day due to uncontrolled consumable use? (value per employee)</t>
  </si>
  <si>
    <t>How many lasers are calibrated on average per month?</t>
  </si>
  <si>
    <t>What are the average costs for a calibration?</t>
  </si>
  <si>
    <t>*** Input from C27. ***</t>
  </si>
  <si>
    <t>How many minutes does a worker lose when a tool is broken? (downtime, searching for a replacement, tool, collecting/bringing tool from warehouse, journey to colleagues/charging etc.)</t>
  </si>
  <si>
    <t>*** Input from C29. ***</t>
  </si>
  <si>
    <r>
      <rPr>
        <b/>
        <sz val="11"/>
        <color rgb="FF000000"/>
        <rFont val="Calibri"/>
        <family val="2"/>
      </rPr>
      <t>Calculation: Cost of uncontrolled consumable use</t>
    </r>
    <r>
      <rPr>
        <sz val="11"/>
        <color rgb="FF000000"/>
        <rFont val="Calibri"/>
        <family val="2"/>
      </rPr>
      <t xml:space="preserve"> (Avg value per employee x # of field employees x working days)</t>
    </r>
  </si>
  <si>
    <r>
      <t xml:space="preserve">Loss and Theft
</t>
    </r>
    <r>
      <rPr>
        <sz val="12"/>
        <rFont val="Calibri"/>
        <family val="2"/>
      </rPr>
      <t>The aim of the following questions is to define the costs linked to lost and stolen assets</t>
    </r>
  </si>
  <si>
    <t>Inserts</t>
  </si>
  <si>
    <t>How many tools are stolen or lost on average per month?</t>
  </si>
  <si>
    <t>How much do you spend on inserts per year?</t>
  </si>
  <si>
    <t>How many minutes does it take for a purchaser to purchase inserts?</t>
  </si>
  <si>
    <r>
      <rPr>
        <b/>
        <sz val="11"/>
        <rFont val="Calibri"/>
        <family val="2"/>
      </rPr>
      <t xml:space="preserve">Calculation:  Annual cost of stolen / lost tools  </t>
    </r>
    <r>
      <rPr>
        <sz val="11"/>
        <rFont val="Calibri"/>
        <family val="2"/>
      </rPr>
      <t>(# stolen / lost tools x avg tool cost x 12 months)</t>
    </r>
  </si>
  <si>
    <t>How often does a purchaser purchase new inserts per month?</t>
  </si>
  <si>
    <t>How many assets (outside of tools) are stolen or lost on average per month?</t>
  </si>
  <si>
    <t>Have you hired a consultant in the past?</t>
  </si>
  <si>
    <r>
      <t xml:space="preserve">Trigger Time 
</t>
    </r>
    <r>
      <rPr>
        <sz val="12"/>
        <rFont val="Calibri"/>
        <family val="2"/>
      </rPr>
      <t xml:space="preserve">The aim of the following is to calculate the current annual labor cost of trigger time and then calculate the future state savings in annual labor cost and in annual labor hours. </t>
    </r>
  </si>
  <si>
    <t>Have you implemented a solution previously?</t>
  </si>
  <si>
    <t>Why was it successful?</t>
  </si>
  <si>
    <t>Why did it fail?</t>
  </si>
  <si>
    <t>On average, how long does a worker use tools each day?  (trigger time per day)</t>
  </si>
  <si>
    <r>
      <t xml:space="preserve">Calculation:  Annual Labor Cost of Trigger Time  </t>
    </r>
    <r>
      <rPr>
        <sz val="11"/>
        <rFont val="Calibri"/>
        <family val="2"/>
      </rPr>
      <t>(trigger time x labor rate x # field employees x days worked)</t>
    </r>
  </si>
  <si>
    <t xml:space="preserve">What is the estimated percentage of trigger time saved? </t>
  </si>
  <si>
    <r>
      <rPr>
        <b/>
        <sz val="11"/>
        <rFont val="Calibri"/>
        <family val="2"/>
      </rPr>
      <t>Calculation:</t>
    </r>
    <r>
      <rPr>
        <sz val="11"/>
        <rFont val="Calibri"/>
        <family val="2"/>
      </rPr>
      <t xml:space="preserve">  </t>
    </r>
    <r>
      <rPr>
        <b/>
        <sz val="11"/>
        <rFont val="Calibri"/>
        <family val="2"/>
      </rPr>
      <t>Labor savings of trigger time in $$$</t>
    </r>
    <r>
      <rPr>
        <sz val="11"/>
        <rFont val="Calibri"/>
        <family val="2"/>
      </rPr>
      <t xml:space="preserve">  (annual labor cost x estimated savings)</t>
    </r>
  </si>
  <si>
    <t>Total saved $</t>
  </si>
  <si>
    <r>
      <t xml:space="preserve">Calculation:  Labor savings of trigger time in labor hours  </t>
    </r>
    <r>
      <rPr>
        <sz val="11"/>
        <rFont val="Calibri"/>
        <family val="2"/>
      </rPr>
      <t>(annual savings / labor rate)</t>
    </r>
  </si>
  <si>
    <t>Total saved hrs.</t>
  </si>
  <si>
    <t>NO</t>
  </si>
  <si>
    <r>
      <rPr>
        <b/>
        <sz val="11"/>
        <rFont val="Calibri"/>
        <family val="2"/>
      </rPr>
      <t xml:space="preserve">Calculation:  Annual cost of process for stolen / lost tools  </t>
    </r>
    <r>
      <rPr>
        <sz val="11"/>
        <rFont val="Calibri"/>
        <family val="2"/>
      </rPr>
      <t>(# stolen / lost tools x avg tool cost x 12 months)</t>
    </r>
  </si>
  <si>
    <r>
      <rPr>
        <b/>
        <sz val="11"/>
        <color rgb="FF671A3D"/>
        <rFont val="Calibri"/>
        <family val="2"/>
      </rPr>
      <t>How much time is lost on average for a lost or theft related process per month?</t>
    </r>
    <r>
      <rPr>
        <b/>
        <sz val="11"/>
        <color rgb="FFC00000"/>
        <rFont val="Calibri"/>
        <family val="2"/>
      </rPr>
      <t xml:space="preserve"> </t>
    </r>
    <r>
      <rPr>
        <sz val="11"/>
        <rFont val="Calibri"/>
        <family val="2"/>
      </rPr>
      <t>(time spent looking for lost/stolen item, administrative effort, police involvement, etc…)</t>
    </r>
  </si>
  <si>
    <t xml:space="preserve"> </t>
  </si>
  <si>
    <t>Series 1</t>
  </si>
  <si>
    <t>Series 2</t>
  </si>
  <si>
    <t>Category 1</t>
  </si>
  <si>
    <t>Category 2</t>
  </si>
  <si>
    <t>Category 5</t>
  </si>
  <si>
    <t>TOTAL</t>
  </si>
  <si>
    <t>Current Cost Summary</t>
  </si>
  <si>
    <t>Future Cost Summary</t>
  </si>
  <si>
    <t>Total Current Cost</t>
  </si>
  <si>
    <t>What ERP system do you use currently?</t>
  </si>
  <si>
    <t xml:space="preserve">Do you use a project management software? </t>
  </si>
  <si>
    <t>Which one?</t>
  </si>
  <si>
    <t>What do you like about it?</t>
  </si>
  <si>
    <t xml:space="preserve">What do you not like about it? </t>
  </si>
  <si>
    <t>How much do you pay for it per year?</t>
  </si>
  <si>
    <t>Resource Management</t>
  </si>
  <si>
    <t>High Performing Tools</t>
  </si>
  <si>
    <t>Current State</t>
  </si>
  <si>
    <t>Future State with Hilti</t>
  </si>
  <si>
    <t>Yes</t>
  </si>
  <si>
    <r>
      <rPr>
        <b/>
        <sz val="11"/>
        <color rgb="FF000000"/>
        <rFont val="Calibri"/>
        <family val="2"/>
      </rPr>
      <t>Calculation:</t>
    </r>
    <r>
      <rPr>
        <sz val="11"/>
        <color rgb="FF000000"/>
        <rFont val="Calibri"/>
        <family val="2"/>
      </rPr>
      <t xml:space="preserve"> Money spent on rented assets per month. (rented in a month x average cost)</t>
    </r>
  </si>
  <si>
    <t>How much time does your H&amp;S office spend on maintaining (review, update, search) employee certifications per month?</t>
  </si>
  <si>
    <t>yr.</t>
  </si>
  <si>
    <t>How long does it take for your H&amp;S office to keep up with inspection records (review, update, search) per month?</t>
  </si>
  <si>
    <t>&lt;- assess which tools they'd need on TOD and calculate the monthly TOD cost on HOL)</t>
  </si>
  <si>
    <r>
      <t xml:space="preserve">How many minutes do you currently spend on the cost allocation of assets per month? </t>
    </r>
    <r>
      <rPr>
        <sz val="11"/>
        <color rgb="FF671A3D"/>
        <rFont val="Calibri"/>
        <family val="2"/>
      </rPr>
      <t>(allocating cost to jobs &amp; reporting)</t>
    </r>
  </si>
  <si>
    <r>
      <rPr>
        <b/>
        <sz val="11"/>
        <color rgb="FF000000"/>
        <rFont val="Calibri"/>
        <family val="2"/>
      </rPr>
      <t xml:space="preserve">Calculation:  </t>
    </r>
    <r>
      <rPr>
        <sz val="11"/>
        <color rgb="FF000000"/>
        <rFont val="Calibri"/>
        <family val="2"/>
      </rPr>
      <t>Labor cost invested to allocate cost to jobsites (time invested x months x avg labor cost)</t>
    </r>
  </si>
  <si>
    <r>
      <rPr>
        <b/>
        <sz val="11"/>
        <color rgb="FF000000"/>
        <rFont val="Calibri"/>
        <family val="2"/>
      </rPr>
      <t xml:space="preserve">Calculation:  </t>
    </r>
    <r>
      <rPr>
        <sz val="11"/>
        <color rgb="FF000000"/>
        <rFont val="Calibri"/>
        <family val="2"/>
      </rPr>
      <t xml:space="preserve">Labor savings in $ </t>
    </r>
  </si>
  <si>
    <r>
      <rPr>
        <b/>
        <sz val="11"/>
        <color rgb="FF000000"/>
        <rFont val="Calibri"/>
        <family val="2"/>
      </rPr>
      <t xml:space="preserve">Calculation:  </t>
    </r>
    <r>
      <rPr>
        <sz val="11"/>
        <color rgb="FF000000"/>
        <rFont val="Calibri"/>
        <family val="2"/>
      </rPr>
      <t>Labor savings in hrs.</t>
    </r>
  </si>
  <si>
    <t>with Fleet</t>
  </si>
  <si>
    <r>
      <rPr>
        <b/>
        <sz val="11"/>
        <color rgb="FF000000"/>
        <rFont val="Calibri"/>
        <family val="2"/>
      </rPr>
      <t xml:space="preserve">Calculation:  </t>
    </r>
    <r>
      <rPr>
        <sz val="11"/>
        <color rgb="FF000000"/>
        <rFont val="Calibri"/>
        <family val="2"/>
      </rPr>
      <t>Cost invested to calibrate lasers (time invested x cost x months)</t>
    </r>
  </si>
  <si>
    <r>
      <rPr>
        <b/>
        <sz val="11"/>
        <color rgb="FF000000"/>
        <rFont val="Calibri"/>
        <family val="2"/>
      </rPr>
      <t xml:space="preserve">Calculation:  </t>
    </r>
    <r>
      <rPr>
        <sz val="11"/>
        <color rgb="FF000000"/>
        <rFont val="Calibri"/>
        <family val="2"/>
      </rPr>
      <t>Cost invested to repair broken tools (# of repairs x cost x months)</t>
    </r>
  </si>
  <si>
    <r>
      <rPr>
        <b/>
        <sz val="11"/>
        <color rgb="FF000000"/>
        <rFont val="Calibri"/>
        <family val="2"/>
      </rPr>
      <t xml:space="preserve">Calculation:  </t>
    </r>
    <r>
      <rPr>
        <sz val="11"/>
        <color rgb="FF000000"/>
        <rFont val="Calibri"/>
        <family val="2"/>
      </rPr>
      <t xml:space="preserve">Cost savings in $ </t>
    </r>
  </si>
  <si>
    <r>
      <rPr>
        <b/>
        <sz val="11"/>
        <color rgb="FF000000"/>
        <rFont val="Calibri"/>
        <family val="2"/>
      </rPr>
      <t xml:space="preserve">Calculation:  </t>
    </r>
    <r>
      <rPr>
        <sz val="11"/>
        <color rgb="FF000000"/>
        <rFont val="Calibri"/>
        <family val="2"/>
      </rPr>
      <t>Cost savings in labor hours</t>
    </r>
  </si>
  <si>
    <r>
      <rPr>
        <b/>
        <sz val="11"/>
        <color rgb="FF000000"/>
        <rFont val="Calibri"/>
        <family val="2"/>
      </rPr>
      <t xml:space="preserve">Calculation:  </t>
    </r>
    <r>
      <rPr>
        <sz val="11"/>
        <color rgb="FF000000"/>
        <rFont val="Calibri"/>
        <family val="2"/>
      </rPr>
      <t>Cost invested to tool maintenance tools (# of maint. x cost x months)</t>
    </r>
  </si>
  <si>
    <t>with O!T</t>
  </si>
  <si>
    <t>How often does this happen per week?</t>
  </si>
  <si>
    <r>
      <rPr>
        <b/>
        <sz val="11"/>
        <color rgb="FF000000"/>
        <rFont val="Calibri"/>
        <family val="2"/>
      </rPr>
      <t xml:space="preserve">Calculation:  </t>
    </r>
    <r>
      <rPr>
        <sz val="11"/>
        <color rgb="FF000000"/>
        <rFont val="Calibri"/>
        <family val="2"/>
      </rPr>
      <t>Cost invested into managing downtime due to misplaced or borken tools $  (time lost x frequency x weeks per year x labor cost x # field employees)</t>
    </r>
  </si>
  <si>
    <r>
      <rPr>
        <b/>
        <sz val="11"/>
        <color rgb="FF000000"/>
        <rFont val="Calibri"/>
        <family val="2"/>
      </rPr>
      <t xml:space="preserve">Calculation:  </t>
    </r>
    <r>
      <rPr>
        <sz val="11"/>
        <color rgb="FF000000"/>
        <rFont val="Calibri"/>
        <family val="2"/>
      </rPr>
      <t>Cost savings in $</t>
    </r>
  </si>
  <si>
    <t xml:space="preserve">with O!T </t>
  </si>
  <si>
    <r>
      <rPr>
        <b/>
        <sz val="11"/>
        <color rgb="FF000000"/>
        <rFont val="Calibri"/>
        <family val="2"/>
      </rPr>
      <t>Calculation:</t>
    </r>
    <r>
      <rPr>
        <sz val="11"/>
        <color rgb="FF000000"/>
        <rFont val="Calibri"/>
        <family val="2"/>
      </rPr>
      <t xml:space="preserve"> Cost of managing employee certifications. (hrs. in a month x labor cost)</t>
    </r>
  </si>
  <si>
    <r>
      <rPr>
        <b/>
        <sz val="11"/>
        <color rgb="FF000000"/>
        <rFont val="Calibri"/>
        <family val="2"/>
      </rPr>
      <t>Calculation:</t>
    </r>
    <r>
      <rPr>
        <sz val="11"/>
        <color rgb="FF000000"/>
        <rFont val="Calibri"/>
        <family val="2"/>
      </rPr>
      <t xml:space="preserve"> Savings for managing employee certifications ($). </t>
    </r>
  </si>
  <si>
    <r>
      <rPr>
        <b/>
        <sz val="11"/>
        <color rgb="FF000000"/>
        <rFont val="Calibri"/>
        <family val="2"/>
      </rPr>
      <t>Calculation:</t>
    </r>
    <r>
      <rPr>
        <sz val="11"/>
        <color rgb="FF000000"/>
        <rFont val="Calibri"/>
        <family val="2"/>
      </rPr>
      <t xml:space="preserve"> Savings for managing employee certifications (hrs.) </t>
    </r>
  </si>
  <si>
    <r>
      <rPr>
        <b/>
        <sz val="11"/>
        <color rgb="FF000000"/>
        <rFont val="Calibri"/>
        <family val="2"/>
      </rPr>
      <t>Calculation:</t>
    </r>
    <r>
      <rPr>
        <sz val="11"/>
        <color rgb="FF000000"/>
        <rFont val="Calibri"/>
        <family val="2"/>
      </rPr>
      <t xml:space="preserve"> Cost of managing inspections and certifications. (hrs. in a month x labor cost)</t>
    </r>
  </si>
  <si>
    <r>
      <rPr>
        <b/>
        <sz val="11"/>
        <color rgb="FF000000"/>
        <rFont val="Calibri"/>
        <family val="2"/>
      </rPr>
      <t>Calculation:</t>
    </r>
    <r>
      <rPr>
        <sz val="11"/>
        <color rgb="FF000000"/>
        <rFont val="Calibri"/>
        <family val="2"/>
      </rPr>
      <t xml:space="preserve"> Savings for managing  inspections and certifications ($). </t>
    </r>
  </si>
  <si>
    <r>
      <rPr>
        <b/>
        <sz val="11"/>
        <color rgb="FF000000"/>
        <rFont val="Calibri"/>
        <family val="2"/>
      </rPr>
      <t>Calculation:</t>
    </r>
    <r>
      <rPr>
        <sz val="11"/>
        <color rgb="FF000000"/>
        <rFont val="Calibri"/>
        <family val="2"/>
      </rPr>
      <t xml:space="preserve"> Savings for managing  inspections and certifications (hrs.) </t>
    </r>
  </si>
  <si>
    <r>
      <rPr>
        <b/>
        <sz val="11"/>
        <color rgb="FF000000"/>
        <rFont val="Calibri"/>
        <family val="2"/>
      </rPr>
      <t>Calculation:</t>
    </r>
    <r>
      <rPr>
        <sz val="11"/>
        <color rgb="FF000000"/>
        <rFont val="Calibri"/>
        <family val="2"/>
      </rPr>
      <t xml:space="preserve"> Savings for managing inventory checks/audits ($). </t>
    </r>
  </si>
  <si>
    <r>
      <rPr>
        <b/>
        <sz val="11"/>
        <color rgb="FF000000"/>
        <rFont val="Calibri"/>
        <family val="2"/>
      </rPr>
      <t>Calculation:</t>
    </r>
    <r>
      <rPr>
        <sz val="11"/>
        <color rgb="FF000000"/>
        <rFont val="Calibri"/>
        <family val="2"/>
      </rPr>
      <t xml:space="preserve"> Savings for managing inventory checks/audits (hrs.) </t>
    </r>
  </si>
  <si>
    <r>
      <rPr>
        <b/>
        <sz val="11"/>
        <color rgb="FF000000"/>
        <rFont val="Calibri"/>
        <family val="2"/>
      </rPr>
      <t xml:space="preserve">Calculation: </t>
    </r>
    <r>
      <rPr>
        <sz val="11"/>
        <color rgb="FF000000"/>
        <rFont val="Calibri"/>
        <family val="2"/>
      </rPr>
      <t>Labor cost invested to purchase inserts (time invested x # frequency x avg labor cost) per year</t>
    </r>
  </si>
  <si>
    <r>
      <rPr>
        <b/>
        <sz val="11"/>
        <color rgb="FF000000"/>
        <rFont val="Calibri"/>
        <family val="2"/>
      </rPr>
      <t>Calculation:</t>
    </r>
    <r>
      <rPr>
        <sz val="11"/>
        <color rgb="FF000000"/>
        <rFont val="Calibri"/>
        <family val="2"/>
      </rPr>
      <t xml:space="preserve"> Savings for managing insersert purchaes ($). </t>
    </r>
  </si>
  <si>
    <r>
      <rPr>
        <b/>
        <sz val="11"/>
        <color rgb="FF000000"/>
        <rFont val="Calibri"/>
        <family val="2"/>
      </rPr>
      <t>Calculation:</t>
    </r>
    <r>
      <rPr>
        <sz val="11"/>
        <color rgb="FF000000"/>
        <rFont val="Calibri"/>
        <family val="2"/>
      </rPr>
      <t xml:space="preserve"> Savings for managing insert purchases (hrs.) </t>
    </r>
  </si>
  <si>
    <t xml:space="preserve">Using Replenish </t>
  </si>
  <si>
    <t>VDC Prefab</t>
  </si>
  <si>
    <t>Work Package Solutions</t>
  </si>
  <si>
    <t>Total Future Cost</t>
  </si>
  <si>
    <t>Savings</t>
  </si>
  <si>
    <t>Jobsite Management</t>
  </si>
  <si>
    <t>Return on Investment</t>
  </si>
  <si>
    <t>One-time fee</t>
  </si>
  <si>
    <t>Annual fee</t>
  </si>
  <si>
    <t>Total investment cost</t>
  </si>
  <si>
    <t>ROI</t>
  </si>
  <si>
    <t>Annual software fee (12*monthly fee)</t>
  </si>
  <si>
    <t>One-time fee (tags, implementation days, training days)</t>
  </si>
  <si>
    <t>Resource Management - Return on Investment</t>
  </si>
  <si>
    <t>High Performing Tools - Return on Investment</t>
  </si>
  <si>
    <t>Monthly fee (12*monthly fee)</t>
  </si>
  <si>
    <t>Total investment cost per year</t>
  </si>
  <si>
    <t xml:space="preserve">One-time fee </t>
  </si>
  <si>
    <t>&lt;--NET HOURS ANNUALY SPENT ON SEARCHING ASSETS (DUMMY FOR DEMO BY ZSOLT)</t>
  </si>
  <si>
    <t>Transparency</t>
  </si>
  <si>
    <t>Application Productivity</t>
  </si>
  <si>
    <t>Smart Cost Control</t>
  </si>
  <si>
    <t xml:space="preserve">labor hours utilized per year </t>
  </si>
  <si>
    <t xml:space="preserve">anticipated productivity improvement </t>
  </si>
  <si>
    <t xml:space="preserve">retired or lost assets </t>
  </si>
  <si>
    <t>Savings with Fleet Mgmt, 4 yrs</t>
  </si>
  <si>
    <t>Calculation is based on manual entry below.</t>
  </si>
  <si>
    <t>Based on manual entry below.</t>
  </si>
  <si>
    <t>ROI from each tab</t>
  </si>
  <si>
    <t>Work Safety</t>
  </si>
  <si>
    <t>Repair &amp; Maintenance</t>
  </si>
  <si>
    <t>Loss &amp; Theft</t>
  </si>
  <si>
    <t>Direct Cost</t>
  </si>
  <si>
    <t>Indirect Cost</t>
  </si>
  <si>
    <t>Rental &amp; Replacement</t>
  </si>
  <si>
    <t>Quantity Items</t>
  </si>
  <si>
    <t>Jobsite Costing</t>
  </si>
  <si>
    <t>xxx</t>
  </si>
  <si>
    <t>Purchase Cost</t>
  </si>
  <si>
    <t>Peak Demand</t>
  </si>
  <si>
    <t>Application Efficiency</t>
  </si>
  <si>
    <t>Quantity items</t>
  </si>
  <si>
    <t>Asset Transparency</t>
  </si>
  <si>
    <t>Data consistency management across systems</t>
  </si>
  <si>
    <t>Report creation</t>
  </si>
  <si>
    <t>Compliance</t>
  </si>
  <si>
    <t>Material Cost Optimization</t>
  </si>
  <si>
    <t>Process Optimization</t>
  </si>
  <si>
    <t xml:space="preserve"> 'Initial Cost' </t>
  </si>
  <si>
    <t xml:space="preserve">Operational cost </t>
  </si>
  <si>
    <t>Slide 32</t>
  </si>
  <si>
    <t>If US = 'ON!Track Lite, 245*12, If 'ON!Track Pro, (470*12), If 'ON!Track Pro Plus, (770*12), IF CA 'ON!Track Lite, 300*12, If 'ON!Track Pro, (585*12), If 'ON!Track Pro Plus, (990*12)</t>
  </si>
  <si>
    <t>slide with 'Initial Cost' - if US, If 'ON!Track Lite, then $/Year - (245*12), If 'ON!Track Pro, then $/Year - (470*12), If 'ON!Track Pro Plus, then $/Year - (899*12), if CA, If 'ON!Track Lite, then $/Year - (300*12), If 'ON!Track Pro, then $/Year - (585*12), If 'ON!Track Pro Plus, then $/Year - (990*12)</t>
  </si>
  <si>
    <t>labor hours utilized per year  hrs.</t>
  </si>
  <si>
    <t>savings in inventory checks ($)</t>
  </si>
  <si>
    <t xml:space="preserve">slide 'Asset transparency - Inventory - our assessment of improvement potential' -&gt; Total savings 5,000 </t>
  </si>
  <si>
    <t>slide 'Asset transparency - Inventory - our assessment of your current process' 'Monthly current process time (h/mth.) *12 + 'Asset transparency - Assets searched and found - our assessment of your current process' 'Monthly current process time (h/month)' *12.</t>
  </si>
  <si>
    <t>slide 'Comparison – current vs. optimized tool crib' -&gt; 'Indirect cost' -&gt; Current Sit. For ' Asset Transparency' - Future Sit. - slide with 'Initial Cost'</t>
  </si>
  <si>
    <t>slide 'Comparison – current vs. optimized tool crib' -&gt; Current Situation for 'Loss &amp; Theft'</t>
  </si>
  <si>
    <t>Savings from 'High Performing Tools' tab</t>
  </si>
  <si>
    <t>Grouping for slides 6 - 7</t>
  </si>
  <si>
    <t>Current State $</t>
  </si>
  <si>
    <t>Future State $</t>
  </si>
  <si>
    <t>Current State hrs.</t>
  </si>
  <si>
    <t>Future State hrs.</t>
  </si>
  <si>
    <t>investment for 4 yrs</t>
  </si>
  <si>
    <t>ROI per Year</t>
  </si>
  <si>
    <t>In PA Output shown as:</t>
  </si>
  <si>
    <r>
      <t xml:space="preserve">Recommended hilti solutions </t>
    </r>
    <r>
      <rPr>
        <b/>
        <sz val="12"/>
        <color rgb="FF671A3D"/>
        <rFont val="Calibri"/>
        <family val="2"/>
        <scheme val="minor"/>
      </rPr>
      <t>digitizing processes</t>
    </r>
  </si>
  <si>
    <t>How much does a worker cost per hour? (Loaded labor rate.  What number do they use when they bid work?)</t>
  </si>
  <si>
    <t>Calculation:  Annual Labor Cost of Trigger Time  (trigger time x labor rate x # field employees x days worked)</t>
  </si>
  <si>
    <t>Calculation:  Labor savings of trigger time in $$$  (annual labor cost x estimated savings)</t>
  </si>
  <si>
    <t>Calculation:  Labor savings of trigger time in labor hours  (annual savings / labor rate)</t>
  </si>
  <si>
    <t>Future State 
with Hilti</t>
  </si>
  <si>
    <r>
      <t xml:space="preserve">Trigger Time 
</t>
    </r>
    <r>
      <rPr>
        <sz val="10"/>
        <rFont val="Calibri"/>
        <family val="2"/>
        <scheme val="minor"/>
      </rPr>
      <t xml:space="preserve">The aim of the following is to calculate the current annual labor cost of trigger time and then calculate the future state savings in annual labor cost and in annual labor hours. </t>
    </r>
  </si>
  <si>
    <t>Info needed</t>
  </si>
  <si>
    <t>Fields to populate by Solution Consultant</t>
  </si>
  <si>
    <t>Elso procedura</t>
  </si>
  <si>
    <t>Masodik</t>
  </si>
  <si>
    <t>Harmadik</t>
  </si>
  <si>
    <t>Dolog1</t>
  </si>
  <si>
    <t>Dolog2</t>
  </si>
  <si>
    <t>Dolog3</t>
  </si>
  <si>
    <t>procedura1</t>
  </si>
  <si>
    <t>procedura12</t>
  </si>
  <si>
    <t>procedura13</t>
  </si>
  <si>
    <t>Canada</t>
  </si>
  <si>
    <t>fferfe</t>
  </si>
  <si>
    <t>ewerew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</si>
</sst>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1" formatCode="_(* #,##0_);_(* \(#,##0\);_(* &quot;-&quot;_);_(@_)"/>
    <numFmt numFmtId="44" formatCode="_(&quot;$&quot;* #,##0.00_);_(&quot;$&quot;* \(#,##0.00\);_(&quot;$&quot;* &quot;-&quot;??_);_(@_)"/>
    <numFmt numFmtId="43" formatCode="_(* #,##0.00_);_(* \(#,##0.00\);_(* &quot;-&quot;??_);_(@_)"/>
    <numFmt numFmtId="164" formatCode="&quot;$&quot;#,##0.00"/>
    <numFmt numFmtId="165" formatCode="_(&quot;$&quot;* #,##0_);_(&quot;$&quot;* \(#,##0\);_(&quot;$&quot;* &quot;-&quot;??_);_(@_)"/>
    <numFmt numFmtId="166" formatCode="&quot;$&quot;#,##0"/>
    <numFmt numFmtId="167" formatCode="_(* #,##0_);_(* \(#,##0\);_(* &quot;-&quot;??_);_(@_)"/>
    <numFmt numFmtId="168" formatCode="#,##0&quot; h&quot;"/>
    <numFmt numFmtId="169" formatCode="_(* #,##0.0_);_(* \(#,##0.0\);_(* &quot;-&quot;??_);_(@_)"/>
  </numFmts>
  <fonts count="68" x14ac:knownFonts="1">
    <font>
      <sz val="10"/>
      <color theme="1"/>
      <name val="Arial"/>
      <family val="2"/>
    </font>
    <font>
      <sz val="10"/>
      <color theme="1"/>
      <name val="Arial"/>
      <family val="2"/>
    </font>
    <font>
      <sz val="11"/>
      <name val="Calibri"/>
      <family val="2"/>
    </font>
    <font>
      <sz val="11"/>
      <color theme="1"/>
      <name val="Calibri"/>
      <family val="2"/>
      <scheme val="minor"/>
    </font>
    <font>
      <sz val="11"/>
      <color theme="1"/>
      <name val="Calibri"/>
      <family val="2"/>
    </font>
    <font>
      <sz val="11"/>
      <color theme="0"/>
      <name val="Calibri"/>
      <family val="2"/>
    </font>
    <font>
      <sz val="10"/>
      <color rgb="FF000000"/>
      <name val="Calibri"/>
      <family val="2"/>
    </font>
    <font>
      <sz val="10"/>
      <color theme="1"/>
      <name val="Calibri"/>
      <family val="2"/>
    </font>
    <font>
      <b/>
      <sz val="12"/>
      <color rgb="FF671A3D"/>
      <name val="Calibri"/>
      <family val="2"/>
    </font>
    <font>
      <b/>
      <sz val="12"/>
      <name val="Calibri"/>
      <family val="2"/>
    </font>
    <font>
      <sz val="12"/>
      <name val="Calibri"/>
      <family val="2"/>
    </font>
    <font>
      <sz val="10"/>
      <name val="Calibri"/>
      <family val="2"/>
    </font>
    <font>
      <sz val="11"/>
      <color rgb="FF000000"/>
      <name val="Calibri"/>
      <family val="2"/>
    </font>
    <font>
      <b/>
      <sz val="11"/>
      <color rgb="FF000000"/>
      <name val="Calibri"/>
      <family val="2"/>
    </font>
    <font>
      <b/>
      <sz val="11"/>
      <color rgb="FF671A3D"/>
      <name val="Calibri"/>
      <family val="2"/>
    </font>
    <font>
      <sz val="11"/>
      <color rgb="FF671A3D"/>
      <name val="Calibri"/>
      <family val="2"/>
    </font>
    <font>
      <i/>
      <sz val="10"/>
      <color rgb="FF000000"/>
      <name val="Calibri"/>
      <family val="2"/>
    </font>
    <font>
      <b/>
      <sz val="10"/>
      <color rgb="FF000000"/>
      <name val="Calibri"/>
      <family val="2"/>
    </font>
    <font>
      <sz val="11"/>
      <color rgb="FFC00000"/>
      <name val="Calibri"/>
      <family val="2"/>
    </font>
    <font>
      <b/>
      <sz val="11"/>
      <name val="Calibri"/>
      <family val="2"/>
    </font>
    <font>
      <b/>
      <sz val="11"/>
      <color rgb="FFC00000"/>
      <name val="Calibri"/>
      <family val="2"/>
    </font>
    <font>
      <b/>
      <sz val="10"/>
      <color rgb="FFC00000"/>
      <name val="Calibri"/>
      <family val="2"/>
    </font>
    <font>
      <b/>
      <i/>
      <sz val="14"/>
      <name val="Calibri"/>
      <family val="2"/>
    </font>
    <font>
      <b/>
      <i/>
      <sz val="18"/>
      <color rgb="FFFFFFFF"/>
      <name val="Calibri"/>
      <family val="2"/>
    </font>
    <font>
      <b/>
      <sz val="12"/>
      <color rgb="FF000000"/>
      <name val="Calibri"/>
      <family val="2"/>
    </font>
    <font>
      <b/>
      <i/>
      <u/>
      <sz val="14"/>
      <color rgb="FF671A3D"/>
      <name val="Calibri"/>
      <family val="2"/>
    </font>
    <font>
      <i/>
      <sz val="14"/>
      <color rgb="FF671A3D"/>
      <name val="Calibri"/>
      <family val="2"/>
    </font>
    <font>
      <sz val="14"/>
      <color rgb="FF000000"/>
      <name val="Calibri"/>
      <family val="2"/>
    </font>
    <font>
      <b/>
      <sz val="14"/>
      <name val="Calibri"/>
      <family val="2"/>
    </font>
    <font>
      <b/>
      <i/>
      <sz val="14"/>
      <color rgb="FF671A3D"/>
      <name val="Calibri"/>
      <family val="2"/>
    </font>
    <font>
      <b/>
      <sz val="12"/>
      <color theme="0"/>
      <name val="Calibri"/>
      <family val="2"/>
    </font>
    <font>
      <b/>
      <i/>
      <u/>
      <sz val="14"/>
      <color theme="0"/>
      <name val="Calibri"/>
      <family val="2"/>
    </font>
    <font>
      <i/>
      <sz val="10"/>
      <name val="Calibri"/>
      <family val="2"/>
    </font>
    <font>
      <i/>
      <sz val="14"/>
      <name val="Calibri"/>
      <family val="2"/>
    </font>
    <font>
      <sz val="14"/>
      <color rgb="FF671A3D"/>
      <name val="Calibri"/>
      <family val="2"/>
    </font>
    <font>
      <b/>
      <sz val="14"/>
      <color rgb="FF671A3D"/>
      <name val="Calibri"/>
      <family val="2"/>
    </font>
    <font>
      <b/>
      <u val="singleAccounting"/>
      <sz val="14"/>
      <color theme="0"/>
      <name val="Calibri"/>
      <family val="2"/>
    </font>
    <font>
      <sz val="10"/>
      <color rgb="FF671A3D"/>
      <name val="Arial"/>
      <family val="2"/>
    </font>
    <font>
      <b/>
      <sz val="12"/>
      <color theme="1"/>
      <name val="Calibri"/>
      <family val="2"/>
    </font>
    <font>
      <b/>
      <sz val="12"/>
      <color theme="1"/>
      <name val="Arial"/>
      <family val="2"/>
    </font>
    <font>
      <sz val="12"/>
      <color rgb="FF000000"/>
      <name val="Calibri"/>
      <family val="2"/>
    </font>
    <font>
      <sz val="12"/>
      <color theme="1"/>
      <name val="Calibri"/>
      <family val="2"/>
    </font>
    <font>
      <sz val="12"/>
      <color theme="1"/>
      <name val="Arial"/>
      <family val="2"/>
    </font>
    <font>
      <sz val="12"/>
      <color rgb="FF671A3D"/>
      <name val="Calibri"/>
      <family val="2"/>
    </font>
    <font>
      <sz val="12"/>
      <color indexed="8"/>
      <name val="Calibri"/>
      <family val="2"/>
    </font>
    <font>
      <b/>
      <sz val="12"/>
      <color rgb="FF671A3D"/>
      <name val="Calibri"/>
      <family val="2"/>
      <scheme val="minor"/>
    </font>
    <font>
      <sz val="12"/>
      <color rgb="FF000000"/>
      <name val="Calibri"/>
      <family val="2"/>
      <scheme val="minor"/>
    </font>
    <font>
      <sz val="12"/>
      <color theme="1"/>
      <name val="Calibri"/>
      <family val="2"/>
      <scheme val="minor"/>
    </font>
    <font>
      <b/>
      <sz val="12"/>
      <color theme="1"/>
      <name val="Calibri"/>
      <family val="2"/>
      <scheme val="minor"/>
    </font>
    <font>
      <b/>
      <u/>
      <sz val="12"/>
      <color theme="1"/>
      <name val="Calibri"/>
      <family val="2"/>
      <scheme val="minor"/>
    </font>
    <font>
      <b/>
      <i/>
      <u/>
      <sz val="12"/>
      <color rgb="FF671A3D"/>
      <name val="Calibri"/>
      <family val="2"/>
      <scheme val="minor"/>
    </font>
    <font>
      <i/>
      <sz val="12"/>
      <color rgb="FF671A3D"/>
      <name val="Calibri"/>
      <family val="2"/>
      <scheme val="minor"/>
    </font>
    <font>
      <sz val="12"/>
      <color rgb="FFFF0000"/>
      <name val="Calibri"/>
      <family val="2"/>
      <scheme val="minor"/>
    </font>
    <font>
      <b/>
      <sz val="12"/>
      <name val="Calibri"/>
      <family val="2"/>
      <scheme val="minor"/>
    </font>
    <font>
      <b/>
      <sz val="12"/>
      <color theme="0"/>
      <name val="Calibri"/>
      <family val="2"/>
      <scheme val="minor"/>
    </font>
    <font>
      <sz val="12"/>
      <name val="Calibri"/>
      <family val="2"/>
      <scheme val="minor"/>
    </font>
    <font>
      <i/>
      <sz val="12"/>
      <color rgb="FF000000"/>
      <name val="Calibri"/>
      <family val="2"/>
      <scheme val="minor"/>
    </font>
    <font>
      <b/>
      <sz val="12"/>
      <color rgb="FF000000"/>
      <name val="Calibri"/>
      <family val="2"/>
      <scheme val="minor"/>
    </font>
    <font>
      <sz val="12"/>
      <color rgb="FFC00000"/>
      <name val="Calibri"/>
      <family val="2"/>
      <scheme val="minor"/>
    </font>
    <font>
      <b/>
      <sz val="12"/>
      <color rgb="FFC00000"/>
      <name val="Calibri"/>
      <family val="2"/>
      <scheme val="minor"/>
    </font>
    <font>
      <sz val="12"/>
      <color theme="0"/>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0"/>
      <name val="Calibri"/>
      <family val="2"/>
      <scheme val="minor"/>
    </font>
    <font>
      <b/>
      <i/>
      <sz val="10"/>
      <color rgb="FFC00000"/>
      <name val="Calibri"/>
      <family val="2"/>
      <scheme val="minor"/>
    </font>
    <font>
      <b/>
      <i/>
      <sz val="12"/>
      <color rgb="FF000000"/>
      <name val="Calibri"/>
      <family val="2"/>
      <scheme val="minor"/>
    </font>
    <font>
      <b/>
      <sz val="10"/>
      <color rgb="FF671A3D"/>
      <name val="Calibri"/>
      <family val="2"/>
      <scheme val="minor"/>
    </font>
  </fonts>
  <fills count="21">
    <fill>
      <patternFill patternType="none"/>
    </fill>
    <fill>
      <patternFill patternType="gray125"/>
    </fill>
    <fill>
      <patternFill patternType="solid">
        <fgColor theme="2"/>
        <bgColor rgb="FF000000"/>
      </patternFill>
    </fill>
    <fill>
      <patternFill patternType="solid">
        <fgColor rgb="FFD9D9D9"/>
        <bgColor rgb="FF000000"/>
      </patternFill>
    </fill>
    <fill>
      <patternFill patternType="solid">
        <fgColor rgb="FF671A3D"/>
        <bgColor rgb="FF000000"/>
      </patternFill>
    </fill>
    <fill>
      <patternFill patternType="solid">
        <fgColor rgb="FFE7E6E6"/>
        <bgColor rgb="FF000000"/>
      </patternFill>
    </fill>
    <fill>
      <patternFill patternType="solid">
        <fgColor rgb="FFC00000"/>
        <bgColor rgb="FF000000"/>
      </patternFill>
    </fill>
    <fill>
      <patternFill patternType="solid">
        <fgColor rgb="FFC00000"/>
        <bgColor indexed="64"/>
      </patternFill>
    </fill>
    <fill>
      <patternFill patternType="solid">
        <fgColor theme="2"/>
        <bgColor indexed="64"/>
      </patternFill>
    </fill>
    <fill>
      <patternFill patternType="solid">
        <fgColor theme="0" tint="-0.14999847407452621"/>
        <bgColor indexed="64"/>
      </patternFill>
    </fill>
    <fill>
      <patternFill patternType="solid">
        <fgColor theme="7" tint="0.79998168889431442"/>
        <bgColor rgb="FF000000"/>
      </patternFill>
    </fill>
    <fill>
      <patternFill patternType="solid">
        <fgColor theme="4" tint="0.59999389629810485"/>
        <bgColor rgb="FF000000"/>
      </patternFill>
    </fill>
    <fill>
      <patternFill patternType="solid">
        <fgColor theme="7" tint="0.79998168889431442"/>
        <bgColor indexed="64"/>
      </patternFill>
    </fill>
    <fill>
      <patternFill patternType="solid">
        <fgColor theme="9" tint="0.39997558519241921"/>
        <bgColor rgb="FF000000"/>
      </patternFill>
    </fill>
    <fill>
      <patternFill patternType="solid">
        <fgColor theme="4"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7" tint="0.59999389629810485"/>
        <bgColor indexed="64"/>
      </patternFill>
    </fill>
    <fill>
      <patternFill patternType="solid">
        <fgColor theme="7" tint="0.59999389629810485"/>
        <bgColor rgb="FF000000"/>
      </patternFill>
    </fill>
  </fills>
  <borders count="2">
    <border>
      <left/>
      <right/>
      <top/>
      <bottom/>
      <diagonal/>
    </border>
    <border>
      <left/>
      <right/>
      <top style="thin">
        <color indexed="64"/>
      </top>
      <bottom style="medium">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44" fontId="3" fillId="0" borderId="0" applyFont="0" applyFill="0" applyBorder="0" applyAlignment="0" applyProtection="0"/>
  </cellStyleXfs>
  <cellXfs count="373">
    <xf numFmtId="0" fontId="0" fillId="0" borderId="0" xfId="0"/>
    <xf numFmtId="0" fontId="2" fillId="0" borderId="0" xfId="0" applyFont="1" applyAlignment="1" applyProtection="1">
      <alignment horizontal="center" vertical="center"/>
      <protection hidden="1"/>
    </xf>
    <xf numFmtId="0" fontId="4" fillId="0" borderId="0" xfId="4" applyFont="1" applyAlignment="1" applyProtection="1">
      <alignment vertical="center"/>
      <protection hidden="1"/>
    </xf>
    <xf numFmtId="0" fontId="2" fillId="0" borderId="0" xfId="4" applyFont="1" applyAlignment="1" applyProtection="1">
      <alignment vertical="center"/>
      <protection hidden="1"/>
    </xf>
    <xf numFmtId="0" fontId="5" fillId="0" borderId="0" xfId="0" applyFont="1" applyAlignment="1" applyProtection="1">
      <alignment horizontal="center" vertical="center"/>
      <protection hidden="1"/>
    </xf>
    <xf numFmtId="0" fontId="6" fillId="0" borderId="0" xfId="4" applyFont="1" applyAlignment="1">
      <alignment vertical="center"/>
    </xf>
    <xf numFmtId="0" fontId="4" fillId="0" borderId="0" xfId="4" applyFont="1" applyAlignment="1">
      <alignment vertical="center"/>
    </xf>
    <xf numFmtId="0" fontId="4" fillId="0" borderId="0" xfId="0" applyFont="1" applyAlignment="1">
      <alignment horizontal="right" indent="1"/>
    </xf>
    <xf numFmtId="0" fontId="4" fillId="0" borderId="0" xfId="0" applyFont="1"/>
    <xf numFmtId="0" fontId="7" fillId="0" borderId="0" xfId="0" applyFont="1"/>
    <xf numFmtId="0" fontId="16" fillId="0" borderId="0" xfId="4" applyFont="1" applyAlignment="1">
      <alignment horizontal="right" vertical="center"/>
    </xf>
    <xf numFmtId="0" fontId="21" fillId="0" borderId="0" xfId="4" applyFont="1" applyAlignment="1">
      <alignment horizontal="center" vertical="center"/>
    </xf>
    <xf numFmtId="0" fontId="6" fillId="0" borderId="0" xfId="4" applyFont="1" applyAlignment="1">
      <alignment horizontal="center" vertical="center"/>
    </xf>
    <xf numFmtId="0" fontId="8" fillId="0" borderId="0" xfId="4" applyFont="1" applyAlignment="1">
      <alignment horizontal="center" vertical="center"/>
    </xf>
    <xf numFmtId="0" fontId="9" fillId="5" borderId="0" xfId="4" applyFont="1" applyFill="1" applyAlignment="1">
      <alignment horizontal="center" vertical="center"/>
    </xf>
    <xf numFmtId="0" fontId="12" fillId="0" borderId="0" xfId="4" applyFont="1" applyAlignment="1">
      <alignment horizontal="center" vertical="center"/>
    </xf>
    <xf numFmtId="0" fontId="9" fillId="5" borderId="0" xfId="4" applyFont="1" applyFill="1" applyAlignment="1">
      <alignment horizontal="center" vertical="center" wrapText="1"/>
    </xf>
    <xf numFmtId="0" fontId="24" fillId="3" borderId="0" xfId="4" applyFont="1" applyFill="1" applyAlignment="1">
      <alignment horizontal="center" vertical="center"/>
    </xf>
    <xf numFmtId="0" fontId="9" fillId="3" borderId="0" xfId="4" applyFont="1" applyFill="1" applyAlignment="1">
      <alignment horizontal="center" vertical="center"/>
    </xf>
    <xf numFmtId="0" fontId="23" fillId="4" borderId="0" xfId="4" applyFont="1" applyFill="1" applyAlignment="1">
      <alignment horizontal="center" vertical="center"/>
    </xf>
    <xf numFmtId="0" fontId="2" fillId="0" borderId="0" xfId="4" applyFont="1" applyAlignment="1">
      <alignment vertical="center"/>
    </xf>
    <xf numFmtId="0" fontId="11" fillId="0" borderId="0" xfId="4" applyFont="1" applyAlignment="1">
      <alignment horizontal="right" vertical="center"/>
    </xf>
    <xf numFmtId="0" fontId="12" fillId="0" borderId="0" xfId="4" applyFont="1" applyAlignment="1">
      <alignment horizontal="left" vertical="center" indent="2"/>
    </xf>
    <xf numFmtId="0" fontId="14" fillId="0" borderId="0" xfId="4" applyFont="1" applyAlignment="1">
      <alignment vertical="center"/>
    </xf>
    <xf numFmtId="0" fontId="14" fillId="0" borderId="0" xfId="4" applyFont="1" applyAlignment="1">
      <alignment horizontal="left" vertical="center" indent="2"/>
    </xf>
    <xf numFmtId="0" fontId="12" fillId="0" borderId="0" xfId="4" applyFont="1" applyAlignment="1">
      <alignment vertical="center"/>
    </xf>
    <xf numFmtId="0" fontId="6" fillId="0" borderId="0" xfId="4" applyFont="1" applyAlignment="1">
      <alignment horizontal="right" vertical="center"/>
    </xf>
    <xf numFmtId="0" fontId="14" fillId="0" borderId="0" xfId="4" applyFont="1" applyAlignment="1">
      <alignment horizontal="left" vertical="center"/>
    </xf>
    <xf numFmtId="0" fontId="2" fillId="0" borderId="0" xfId="4" applyFont="1" applyAlignment="1">
      <alignment horizontal="left" vertical="center"/>
    </xf>
    <xf numFmtId="0" fontId="17" fillId="0" borderId="0" xfId="4" applyFont="1" applyAlignment="1">
      <alignment horizontal="right" vertical="center"/>
    </xf>
    <xf numFmtId="0" fontId="15" fillId="0" borderId="0" xfId="4" applyFont="1" applyAlignment="1">
      <alignment vertical="center"/>
    </xf>
    <xf numFmtId="0" fontId="2" fillId="0" borderId="0" xfId="4" applyFont="1" applyAlignment="1">
      <alignment horizontal="left" vertical="center" indent="2"/>
    </xf>
    <xf numFmtId="0" fontId="12" fillId="0" borderId="0" xfId="4" applyFont="1" applyAlignment="1">
      <alignment horizontal="left" vertical="center"/>
    </xf>
    <xf numFmtId="0" fontId="19" fillId="0" borderId="0" xfId="4" applyFont="1" applyAlignment="1">
      <alignment horizontal="left" vertical="center" indent="2"/>
    </xf>
    <xf numFmtId="164" fontId="2" fillId="3" borderId="0" xfId="2" applyNumberFormat="1" applyFont="1" applyFill="1" applyBorder="1" applyAlignment="1" applyProtection="1">
      <alignment horizontal="center" vertical="center"/>
      <protection locked="0"/>
    </xf>
    <xf numFmtId="1" fontId="2" fillId="3" borderId="0" xfId="4" applyNumberFormat="1" applyFont="1" applyFill="1" applyAlignment="1" applyProtection="1">
      <alignment horizontal="center" vertical="center"/>
      <protection locked="0"/>
    </xf>
    <xf numFmtId="9" fontId="12" fillId="3" borderId="0" xfId="3" applyFont="1" applyFill="1" applyBorder="1" applyAlignment="1" applyProtection="1">
      <alignment horizontal="center" vertical="center"/>
      <protection locked="0"/>
    </xf>
    <xf numFmtId="0" fontId="12" fillId="3" borderId="0" xfId="4" applyFont="1" applyFill="1" applyAlignment="1" applyProtection="1">
      <alignment horizontal="center" vertical="center"/>
      <protection locked="0"/>
    </xf>
    <xf numFmtId="1" fontId="2" fillId="3" borderId="0" xfId="1" applyNumberFormat="1" applyFont="1" applyFill="1" applyBorder="1" applyAlignment="1" applyProtection="1">
      <alignment horizontal="center" vertical="center"/>
      <protection locked="0"/>
    </xf>
    <xf numFmtId="2" fontId="2" fillId="3" borderId="0" xfId="4" applyNumberFormat="1" applyFont="1" applyFill="1" applyAlignment="1" applyProtection="1">
      <alignment horizontal="center" vertical="center"/>
      <protection locked="0"/>
    </xf>
    <xf numFmtId="2" fontId="2" fillId="3" borderId="0" xfId="2" applyNumberFormat="1" applyFont="1" applyFill="1" applyBorder="1" applyAlignment="1" applyProtection="1">
      <alignment horizontal="center" vertical="center"/>
      <protection locked="0"/>
    </xf>
    <xf numFmtId="1" fontId="12" fillId="3" borderId="0" xfId="4" applyNumberFormat="1" applyFont="1" applyFill="1" applyAlignment="1" applyProtection="1">
      <alignment horizontal="center" vertical="center"/>
      <protection locked="0"/>
    </xf>
    <xf numFmtId="164" fontId="12" fillId="3" borderId="0" xfId="5" applyNumberFormat="1" applyFont="1" applyFill="1" applyBorder="1" applyAlignment="1" applyProtection="1">
      <alignment horizontal="center" vertical="center"/>
      <protection hidden="1"/>
    </xf>
    <xf numFmtId="164" fontId="12" fillId="3" borderId="0" xfId="2" applyNumberFormat="1" applyFont="1" applyFill="1" applyBorder="1" applyAlignment="1" applyProtection="1">
      <alignment horizontal="center" vertical="center"/>
      <protection locked="0"/>
    </xf>
    <xf numFmtId="164" fontId="18" fillId="3" borderId="0" xfId="5" applyNumberFormat="1" applyFont="1" applyFill="1" applyBorder="1" applyAlignment="1" applyProtection="1">
      <alignment horizontal="center" vertical="center"/>
      <protection hidden="1"/>
    </xf>
    <xf numFmtId="164" fontId="12" fillId="3" borderId="0" xfId="5" applyNumberFormat="1" applyFont="1" applyFill="1" applyBorder="1" applyAlignment="1" applyProtection="1">
      <alignment horizontal="center" vertical="center"/>
      <protection locked="0"/>
    </xf>
    <xf numFmtId="0" fontId="12" fillId="0" borderId="0" xfId="4" applyFont="1" applyAlignment="1">
      <alignment horizontal="left" vertical="center" indent="1"/>
    </xf>
    <xf numFmtId="1" fontId="12" fillId="3" borderId="0" xfId="4" applyNumberFormat="1" applyFont="1" applyFill="1" applyAlignment="1" applyProtection="1">
      <alignment horizontal="center" vertical="center"/>
      <protection hidden="1"/>
    </xf>
    <xf numFmtId="1" fontId="2" fillId="0" borderId="0" xfId="4" applyNumberFormat="1" applyFont="1" applyAlignment="1" applyProtection="1">
      <alignment horizontal="center" vertical="center"/>
      <protection locked="0"/>
    </xf>
    <xf numFmtId="164" fontId="2" fillId="0" borderId="0" xfId="2" applyNumberFormat="1" applyFont="1" applyFill="1" applyBorder="1" applyAlignment="1" applyProtection="1">
      <alignment horizontal="center" vertical="center"/>
      <protection locked="0"/>
    </xf>
    <xf numFmtId="1" fontId="2" fillId="0" borderId="0" xfId="1" applyNumberFormat="1" applyFont="1" applyFill="1" applyBorder="1" applyAlignment="1" applyProtection="1">
      <alignment horizontal="center" vertical="center"/>
      <protection locked="0"/>
    </xf>
    <xf numFmtId="2" fontId="2" fillId="0" borderId="0" xfId="4" applyNumberFormat="1" applyFont="1" applyAlignment="1" applyProtection="1">
      <alignment horizontal="center" vertical="center"/>
      <protection locked="0"/>
    </xf>
    <xf numFmtId="0" fontId="0" fillId="0" borderId="0" xfId="0" applyAlignment="1">
      <alignment horizontal="right"/>
    </xf>
    <xf numFmtId="0" fontId="9" fillId="5" borderId="0" xfId="4" applyFont="1" applyFill="1" applyAlignment="1">
      <alignment vertical="center" wrapText="1"/>
    </xf>
    <xf numFmtId="0" fontId="30" fillId="6" borderId="0" xfId="4" applyFont="1" applyFill="1" applyAlignment="1">
      <alignment horizontal="center" vertical="center" wrapText="1"/>
    </xf>
    <xf numFmtId="165" fontId="0" fillId="0" borderId="0" xfId="2" applyNumberFormat="1" applyFont="1" applyAlignment="1">
      <alignment horizontal="left" vertical="top"/>
    </xf>
    <xf numFmtId="166" fontId="0" fillId="0" borderId="0" xfId="0" applyNumberFormat="1"/>
    <xf numFmtId="1" fontId="2" fillId="3" borderId="0" xfId="4" applyNumberFormat="1" applyFont="1" applyFill="1" applyAlignment="1" applyProtection="1">
      <alignment horizontal="center" vertical="center"/>
      <protection hidden="1"/>
    </xf>
    <xf numFmtId="0" fontId="31" fillId="6" borderId="0" xfId="4" applyFont="1" applyFill="1" applyAlignment="1">
      <alignment horizontal="left" vertical="center"/>
    </xf>
    <xf numFmtId="0" fontId="6" fillId="0" borderId="0" xfId="4" applyFont="1" applyAlignment="1">
      <alignment horizontal="left" vertical="center" indent="2"/>
    </xf>
    <xf numFmtId="0" fontId="16" fillId="0" borderId="0" xfId="4" applyFont="1" applyAlignment="1">
      <alignment horizontal="left" vertical="center" indent="2"/>
    </xf>
    <xf numFmtId="0" fontId="11" fillId="5" borderId="0" xfId="4" applyFont="1" applyFill="1" applyAlignment="1">
      <alignment horizontal="center" vertical="center" wrapText="1"/>
    </xf>
    <xf numFmtId="166" fontId="2" fillId="3" borderId="0" xfId="2" applyNumberFormat="1" applyFont="1" applyFill="1" applyBorder="1" applyAlignment="1" applyProtection="1">
      <alignment horizontal="center" vertical="center"/>
      <protection locked="0"/>
    </xf>
    <xf numFmtId="166" fontId="12" fillId="3" borderId="0" xfId="2" applyNumberFormat="1" applyFont="1" applyFill="1" applyBorder="1" applyAlignment="1" applyProtection="1">
      <alignment horizontal="center" vertical="center"/>
      <protection locked="0"/>
    </xf>
    <xf numFmtId="165" fontId="0" fillId="0" borderId="0" xfId="2" applyNumberFormat="1" applyFont="1" applyAlignment="1">
      <alignment horizontal="right" vertical="top"/>
    </xf>
    <xf numFmtId="166" fontId="14" fillId="0" borderId="0" xfId="4" applyNumberFormat="1" applyFont="1" applyAlignment="1">
      <alignment horizontal="left" vertical="center"/>
    </xf>
    <xf numFmtId="166" fontId="6" fillId="0" borderId="0" xfId="4" applyNumberFormat="1" applyFont="1" applyAlignment="1">
      <alignment horizontal="right" vertical="center"/>
    </xf>
    <xf numFmtId="166" fontId="12" fillId="3" borderId="0" xfId="5" applyNumberFormat="1" applyFont="1" applyFill="1" applyBorder="1" applyAlignment="1" applyProtection="1">
      <alignment horizontal="center" vertical="center"/>
      <protection hidden="1"/>
    </xf>
    <xf numFmtId="166" fontId="16" fillId="0" borderId="0" xfId="4" applyNumberFormat="1" applyFont="1" applyAlignment="1">
      <alignment horizontal="right" vertical="center"/>
    </xf>
    <xf numFmtId="166" fontId="2" fillId="0" borderId="0" xfId="4" applyNumberFormat="1" applyFont="1" applyAlignment="1">
      <alignment horizontal="left" vertical="center" indent="2"/>
    </xf>
    <xf numFmtId="166" fontId="17" fillId="0" borderId="0" xfId="4" applyNumberFormat="1" applyFont="1" applyAlignment="1">
      <alignment horizontal="right" vertical="center"/>
    </xf>
    <xf numFmtId="166" fontId="18" fillId="3" borderId="0" xfId="2" applyNumberFormat="1" applyFont="1" applyFill="1" applyBorder="1" applyAlignment="1" applyProtection="1">
      <alignment horizontal="center" vertical="center"/>
      <protection hidden="1"/>
    </xf>
    <xf numFmtId="166" fontId="12" fillId="3" borderId="0" xfId="4" applyNumberFormat="1" applyFont="1" applyFill="1" applyAlignment="1" applyProtection="1">
      <alignment horizontal="center" vertical="center"/>
      <protection hidden="1"/>
    </xf>
    <xf numFmtId="166" fontId="2" fillId="0" borderId="0" xfId="2" applyNumberFormat="1" applyFont="1" applyFill="1" applyBorder="1" applyAlignment="1" applyProtection="1">
      <alignment horizontal="center" vertical="center"/>
      <protection locked="0"/>
    </xf>
    <xf numFmtId="166" fontId="18" fillId="3" borderId="0" xfId="5" applyNumberFormat="1" applyFont="1" applyFill="1" applyBorder="1" applyAlignment="1" applyProtection="1">
      <alignment horizontal="center" vertical="center"/>
      <protection hidden="1"/>
    </xf>
    <xf numFmtId="0" fontId="9" fillId="0" borderId="0" xfId="4" applyFont="1" applyAlignment="1">
      <alignment horizontal="center" vertical="center" wrapText="1"/>
    </xf>
    <xf numFmtId="164" fontId="18" fillId="0" borderId="0" xfId="5" applyNumberFormat="1" applyFont="1" applyFill="1" applyBorder="1" applyAlignment="1" applyProtection="1">
      <alignment horizontal="center" vertical="center"/>
      <protection hidden="1"/>
    </xf>
    <xf numFmtId="166" fontId="18" fillId="3" borderId="0" xfId="2" applyNumberFormat="1" applyFont="1" applyFill="1" applyBorder="1" applyAlignment="1" applyProtection="1">
      <alignment horizontal="center" vertical="center"/>
      <protection locked="0"/>
    </xf>
    <xf numFmtId="0" fontId="4" fillId="8" borderId="0" xfId="4" applyFont="1" applyFill="1" applyAlignment="1">
      <alignment vertical="center"/>
    </xf>
    <xf numFmtId="0" fontId="0" fillId="0" borderId="0" xfId="0" applyAlignment="1">
      <alignment wrapText="1"/>
    </xf>
    <xf numFmtId="0" fontId="4" fillId="0" borderId="0" xfId="0" applyFont="1" applyAlignment="1">
      <alignment wrapText="1"/>
    </xf>
    <xf numFmtId="0" fontId="12" fillId="0" borderId="0" xfId="4" applyFont="1" applyAlignment="1">
      <alignment vertical="center" wrapText="1"/>
    </xf>
    <xf numFmtId="0" fontId="2" fillId="0" borderId="0" xfId="0" applyFont="1" applyAlignment="1" applyProtection="1">
      <alignment horizontal="center" vertical="center" wrapText="1"/>
      <protection hidden="1"/>
    </xf>
    <xf numFmtId="0" fontId="6" fillId="0" borderId="0" xfId="4" applyFont="1" applyAlignment="1">
      <alignment vertical="center" wrapText="1"/>
    </xf>
    <xf numFmtId="0" fontId="6" fillId="0" borderId="0" xfId="4" applyFont="1" applyAlignment="1">
      <alignment horizontal="center" vertical="center" wrapText="1"/>
    </xf>
    <xf numFmtId="0" fontId="4" fillId="0" borderId="0" xfId="4" applyFont="1" applyAlignment="1">
      <alignment vertical="center" wrapText="1"/>
    </xf>
    <xf numFmtId="9" fontId="18" fillId="0" borderId="0" xfId="4" applyNumberFormat="1" applyFont="1" applyAlignment="1">
      <alignment vertical="center" wrapText="1"/>
    </xf>
    <xf numFmtId="166" fontId="18" fillId="3" borderId="0" xfId="4" applyNumberFormat="1" applyFont="1" applyFill="1" applyAlignment="1" applyProtection="1">
      <alignment horizontal="center" vertical="center"/>
      <protection hidden="1"/>
    </xf>
    <xf numFmtId="9" fontId="18" fillId="0" borderId="0" xfId="4" applyNumberFormat="1" applyFont="1" applyAlignment="1">
      <alignment horizontal="left" vertical="center" wrapText="1"/>
    </xf>
    <xf numFmtId="166" fontId="12" fillId="0" borderId="0" xfId="5" applyNumberFormat="1" applyFont="1" applyFill="1" applyBorder="1" applyAlignment="1" applyProtection="1">
      <alignment horizontal="center" vertical="center"/>
      <protection hidden="1"/>
    </xf>
    <xf numFmtId="1" fontId="18" fillId="3" borderId="0" xfId="4" applyNumberFormat="1" applyFont="1" applyFill="1" applyAlignment="1" applyProtection="1">
      <alignment horizontal="center" vertical="center"/>
      <protection locked="0"/>
    </xf>
    <xf numFmtId="44" fontId="2" fillId="3" borderId="0" xfId="2" applyFont="1" applyFill="1" applyAlignment="1" applyProtection="1">
      <alignment horizontal="center" vertical="center"/>
      <protection locked="0"/>
    </xf>
    <xf numFmtId="44" fontId="18" fillId="3" borderId="0" xfId="2" applyFont="1" applyFill="1" applyAlignment="1" applyProtection="1">
      <alignment horizontal="center" vertical="center"/>
      <protection locked="0"/>
    </xf>
    <xf numFmtId="44" fontId="2" fillId="0" borderId="0" xfId="2" applyFont="1" applyFill="1" applyAlignment="1" applyProtection="1">
      <alignment horizontal="center" vertical="center"/>
      <protection locked="0"/>
    </xf>
    <xf numFmtId="44" fontId="18" fillId="0" borderId="0" xfId="2" applyFont="1" applyFill="1" applyAlignment="1" applyProtection="1">
      <alignment horizontal="center" vertical="center"/>
      <protection locked="0"/>
    </xf>
    <xf numFmtId="165" fontId="18" fillId="3" borderId="0" xfId="2" applyNumberFormat="1" applyFont="1" applyFill="1" applyAlignment="1" applyProtection="1">
      <alignment horizontal="center" vertical="center"/>
      <protection locked="0"/>
    </xf>
    <xf numFmtId="167" fontId="18" fillId="0" borderId="0" xfId="1" applyNumberFormat="1" applyFont="1" applyFill="1" applyAlignment="1" applyProtection="1">
      <alignment horizontal="center" vertical="center"/>
      <protection locked="0"/>
    </xf>
    <xf numFmtId="166" fontId="12" fillId="0" borderId="0" xfId="2" applyNumberFormat="1" applyFont="1" applyFill="1" applyBorder="1" applyAlignment="1" applyProtection="1">
      <alignment horizontal="center" vertical="center"/>
      <protection locked="0"/>
    </xf>
    <xf numFmtId="164" fontId="12" fillId="0" borderId="0" xfId="2" applyNumberFormat="1" applyFont="1" applyFill="1" applyBorder="1" applyAlignment="1" applyProtection="1">
      <alignment horizontal="center" vertical="center"/>
      <protection locked="0"/>
    </xf>
    <xf numFmtId="0" fontId="18" fillId="0" borderId="0" xfId="4" applyFont="1" applyAlignment="1">
      <alignment vertical="center" wrapText="1"/>
    </xf>
    <xf numFmtId="164" fontId="18" fillId="3" borderId="0" xfId="2" applyNumberFormat="1" applyFont="1" applyFill="1" applyBorder="1" applyAlignment="1" applyProtection="1">
      <alignment horizontal="center" vertical="center"/>
      <protection locked="0"/>
    </xf>
    <xf numFmtId="9" fontId="12" fillId="0" borderId="0" xfId="3" applyFont="1" applyAlignment="1">
      <alignment horizontal="center" vertical="center"/>
    </xf>
    <xf numFmtId="44" fontId="2" fillId="9" borderId="0" xfId="2" applyFont="1" applyFill="1" applyAlignment="1" applyProtection="1">
      <alignment horizontal="center" vertical="center"/>
      <protection locked="0"/>
    </xf>
    <xf numFmtId="167" fontId="18" fillId="9" borderId="0" xfId="1" applyNumberFormat="1" applyFont="1" applyFill="1" applyAlignment="1" applyProtection="1">
      <alignment horizontal="center" vertical="center"/>
      <protection locked="0"/>
    </xf>
    <xf numFmtId="164" fontId="18" fillId="3" borderId="0" xfId="2" applyNumberFormat="1" applyFont="1" applyFill="1" applyBorder="1" applyAlignment="1" applyProtection="1">
      <alignment horizontal="left" vertical="center" indent="2"/>
      <protection locked="0"/>
    </xf>
    <xf numFmtId="0" fontId="2" fillId="0" borderId="0" xfId="4" applyFont="1" applyAlignment="1">
      <alignment vertical="center" wrapText="1"/>
    </xf>
    <xf numFmtId="0" fontId="18" fillId="0" borderId="0" xfId="4" applyFont="1" applyAlignment="1">
      <alignment horizontal="center" vertical="center" wrapText="1"/>
    </xf>
    <xf numFmtId="1" fontId="12" fillId="0" borderId="0" xfId="4" applyNumberFormat="1" applyFont="1" applyAlignment="1" applyProtection="1">
      <alignment horizontal="center" vertical="center"/>
      <protection locked="0"/>
    </xf>
    <xf numFmtId="167" fontId="18" fillId="3" borderId="0" xfId="1" applyNumberFormat="1" applyFont="1" applyFill="1" applyBorder="1" applyAlignment="1" applyProtection="1">
      <alignment horizontal="center" vertical="center"/>
      <protection hidden="1"/>
    </xf>
    <xf numFmtId="167" fontId="18" fillId="3" borderId="0" xfId="1" applyNumberFormat="1" applyFont="1" applyFill="1" applyBorder="1" applyAlignment="1" applyProtection="1">
      <alignment horizontal="center" vertical="center"/>
      <protection locked="0"/>
    </xf>
    <xf numFmtId="0" fontId="18" fillId="0" borderId="0" xfId="4" applyFont="1" applyAlignment="1">
      <alignment vertical="center"/>
    </xf>
    <xf numFmtId="164" fontId="2" fillId="3" borderId="0" xfId="5" applyNumberFormat="1" applyFont="1" applyFill="1" applyBorder="1" applyAlignment="1" applyProtection="1">
      <alignment horizontal="center" vertical="center"/>
      <protection hidden="1"/>
    </xf>
    <xf numFmtId="0" fontId="16" fillId="9" borderId="0" xfId="4" applyFont="1" applyFill="1" applyAlignment="1">
      <alignment horizontal="right" vertical="center"/>
    </xf>
    <xf numFmtId="0" fontId="0" fillId="9" borderId="0" xfId="0" applyFill="1"/>
    <xf numFmtId="0" fontId="9" fillId="0" borderId="0" xfId="4" applyFont="1" applyAlignment="1">
      <alignment vertical="center"/>
    </xf>
    <xf numFmtId="0" fontId="30" fillId="0" borderId="0" xfId="4" applyFont="1" applyAlignment="1">
      <alignment vertical="center" wrapText="1"/>
    </xf>
    <xf numFmtId="0" fontId="4" fillId="9" borderId="0" xfId="4" applyFont="1" applyFill="1" applyAlignment="1">
      <alignment vertical="center"/>
    </xf>
    <xf numFmtId="0" fontId="32" fillId="0" borderId="0" xfId="4" applyFont="1" applyAlignment="1">
      <alignment horizontal="right" vertical="center"/>
    </xf>
    <xf numFmtId="0" fontId="2" fillId="3" borderId="0" xfId="4" applyFont="1" applyFill="1" applyAlignment="1" applyProtection="1">
      <alignment horizontal="center" vertical="center"/>
      <protection locked="0"/>
    </xf>
    <xf numFmtId="164" fontId="2" fillId="3" borderId="0" xfId="5" applyNumberFormat="1" applyFont="1" applyFill="1" applyBorder="1" applyAlignment="1" applyProtection="1">
      <alignment horizontal="center" vertical="center"/>
      <protection locked="0"/>
    </xf>
    <xf numFmtId="166" fontId="12" fillId="3" borderId="0" xfId="5" applyNumberFormat="1" applyFont="1" applyFill="1" applyBorder="1" applyAlignment="1" applyProtection="1">
      <alignment horizontal="center" vertical="center"/>
      <protection locked="0"/>
    </xf>
    <xf numFmtId="167" fontId="12" fillId="3" borderId="0" xfId="1" applyNumberFormat="1" applyFont="1" applyFill="1" applyBorder="1" applyAlignment="1" applyProtection="1">
      <alignment horizontal="center" vertical="center"/>
      <protection locked="0"/>
    </xf>
    <xf numFmtId="166" fontId="2" fillId="3" borderId="0" xfId="5" applyNumberFormat="1" applyFont="1" applyFill="1" applyBorder="1" applyAlignment="1" applyProtection="1">
      <alignment horizontal="center" vertical="center"/>
      <protection locked="0"/>
    </xf>
    <xf numFmtId="166" fontId="18" fillId="3" borderId="0" xfId="5" applyNumberFormat="1" applyFont="1" applyFill="1" applyBorder="1" applyAlignment="1" applyProtection="1">
      <alignment horizontal="center" vertical="center"/>
      <protection locked="0"/>
    </xf>
    <xf numFmtId="1" fontId="18" fillId="0" borderId="0" xfId="4" applyNumberFormat="1" applyFont="1" applyAlignment="1" applyProtection="1">
      <alignment horizontal="center" vertical="center"/>
      <protection locked="0"/>
    </xf>
    <xf numFmtId="1" fontId="2" fillId="9" borderId="0" xfId="4" applyNumberFormat="1" applyFont="1" applyFill="1" applyAlignment="1" applyProtection="1">
      <alignment horizontal="center" vertical="center"/>
      <protection locked="0"/>
    </xf>
    <xf numFmtId="1" fontId="18" fillId="9" borderId="0" xfId="4" applyNumberFormat="1" applyFont="1" applyFill="1" applyAlignment="1" applyProtection="1">
      <alignment horizontal="center" vertical="center"/>
      <protection locked="0"/>
    </xf>
    <xf numFmtId="0" fontId="26" fillId="10" borderId="0" xfId="4" applyFont="1" applyFill="1" applyAlignment="1">
      <alignment horizontal="left" vertical="center"/>
    </xf>
    <xf numFmtId="0" fontId="26" fillId="11" borderId="0" xfId="4" applyFont="1" applyFill="1" applyAlignment="1">
      <alignment horizontal="left" vertical="center"/>
    </xf>
    <xf numFmtId="166" fontId="12" fillId="11" borderId="0" xfId="2" applyNumberFormat="1" applyFont="1" applyFill="1" applyBorder="1" applyAlignment="1" applyProtection="1">
      <alignment horizontal="center" vertical="center"/>
      <protection locked="0"/>
    </xf>
    <xf numFmtId="166" fontId="18" fillId="11" borderId="0" xfId="5" applyNumberFormat="1" applyFont="1" applyFill="1" applyBorder="1" applyAlignment="1" applyProtection="1">
      <alignment horizontal="center" vertical="center"/>
      <protection hidden="1"/>
    </xf>
    <xf numFmtId="166" fontId="2" fillId="10" borderId="0" xfId="2" applyNumberFormat="1" applyFont="1" applyFill="1" applyBorder="1" applyAlignment="1" applyProtection="1">
      <alignment horizontal="center" vertical="center"/>
      <protection locked="0"/>
    </xf>
    <xf numFmtId="166" fontId="2" fillId="10" borderId="0" xfId="5" applyNumberFormat="1" applyFont="1" applyFill="1" applyBorder="1" applyAlignment="1" applyProtection="1">
      <alignment horizontal="center" vertical="center"/>
      <protection hidden="1"/>
    </xf>
    <xf numFmtId="0" fontId="26" fillId="13" borderId="0" xfId="4" applyFont="1" applyFill="1" applyAlignment="1">
      <alignment horizontal="left" vertical="center"/>
    </xf>
    <xf numFmtId="0" fontId="26" fillId="2" borderId="0" xfId="4" applyFont="1" applyFill="1" applyAlignment="1">
      <alignment horizontal="left" vertical="center"/>
    </xf>
    <xf numFmtId="0" fontId="25" fillId="0" borderId="0" xfId="4" applyFont="1" applyAlignment="1">
      <alignment horizontal="left" vertical="center"/>
    </xf>
    <xf numFmtId="0" fontId="26" fillId="0" borderId="0" xfId="4" applyFont="1" applyAlignment="1">
      <alignment horizontal="left" vertical="center"/>
    </xf>
    <xf numFmtId="0" fontId="27" fillId="0" borderId="0" xfId="4" applyFont="1" applyAlignment="1">
      <alignment horizontal="left" vertical="center"/>
    </xf>
    <xf numFmtId="166" fontId="26" fillId="0" borderId="0" xfId="0" applyNumberFormat="1" applyFont="1" applyAlignment="1" applyProtection="1">
      <alignment horizontal="left" vertical="center"/>
      <protection hidden="1"/>
    </xf>
    <xf numFmtId="0" fontId="28" fillId="0" borderId="0" xfId="0" applyFont="1" applyAlignment="1" applyProtection="1">
      <alignment horizontal="left" vertical="center"/>
      <protection hidden="1"/>
    </xf>
    <xf numFmtId="0" fontId="22" fillId="0" borderId="0" xfId="4" applyFont="1" applyAlignment="1">
      <alignment horizontal="left" vertical="center"/>
    </xf>
    <xf numFmtId="0" fontId="29" fillId="0" borderId="0" xfId="4" applyFont="1" applyAlignment="1">
      <alignment horizontal="left" vertical="center"/>
    </xf>
    <xf numFmtId="0" fontId="29" fillId="0" borderId="0" xfId="0" applyFont="1" applyAlignment="1" applyProtection="1">
      <alignment horizontal="left" vertical="center"/>
      <protection hidden="1"/>
    </xf>
    <xf numFmtId="166" fontId="26" fillId="12" borderId="0" xfId="0" applyNumberFormat="1" applyFont="1" applyFill="1" applyAlignment="1" applyProtection="1">
      <alignment horizontal="left" vertical="center"/>
      <protection hidden="1"/>
    </xf>
    <xf numFmtId="166" fontId="26" fillId="14" borderId="0" xfId="0" applyNumberFormat="1" applyFont="1" applyFill="1" applyAlignment="1" applyProtection="1">
      <alignment horizontal="left" vertical="center"/>
      <protection hidden="1"/>
    </xf>
    <xf numFmtId="166" fontId="26" fillId="15" borderId="0" xfId="0" applyNumberFormat="1" applyFont="1" applyFill="1" applyAlignment="1" applyProtection="1">
      <alignment horizontal="left" vertical="center"/>
      <protection hidden="1"/>
    </xf>
    <xf numFmtId="166" fontId="26" fillId="8" borderId="0" xfId="0" applyNumberFormat="1" applyFont="1" applyFill="1" applyAlignment="1" applyProtection="1">
      <alignment horizontal="left" vertical="center"/>
      <protection hidden="1"/>
    </xf>
    <xf numFmtId="166" fontId="31" fillId="7" borderId="0" xfId="0" applyNumberFormat="1" applyFont="1" applyFill="1" applyAlignment="1" applyProtection="1">
      <alignment horizontal="left" vertical="center"/>
      <protection hidden="1"/>
    </xf>
    <xf numFmtId="1" fontId="18" fillId="0" borderId="0" xfId="4" applyNumberFormat="1" applyFont="1" applyAlignment="1" applyProtection="1">
      <alignment vertical="center"/>
      <protection hidden="1"/>
    </xf>
    <xf numFmtId="0" fontId="18" fillId="0" borderId="0" xfId="4" applyFont="1" applyAlignment="1" applyProtection="1">
      <alignment vertical="center"/>
      <protection hidden="1"/>
    </xf>
    <xf numFmtId="0" fontId="33" fillId="0" borderId="0" xfId="4" applyFont="1" applyAlignment="1">
      <alignment horizontal="left" vertical="center"/>
    </xf>
    <xf numFmtId="0" fontId="29" fillId="0" borderId="0" xfId="4" applyFont="1" applyAlignment="1">
      <alignment horizontal="center"/>
    </xf>
    <xf numFmtId="0" fontId="35" fillId="0" borderId="0" xfId="4" applyFont="1" applyAlignment="1">
      <alignment horizontal="center"/>
    </xf>
    <xf numFmtId="0" fontId="26" fillId="14" borderId="0" xfId="4" applyFont="1" applyFill="1" applyAlignment="1">
      <alignment horizontal="left" vertical="center"/>
    </xf>
    <xf numFmtId="0" fontId="26" fillId="12" borderId="0" xfId="4" applyFont="1" applyFill="1" applyAlignment="1">
      <alignment horizontal="left" vertical="center"/>
    </xf>
    <xf numFmtId="0" fontId="26" fillId="15" borderId="0" xfId="4" applyFont="1" applyFill="1" applyAlignment="1">
      <alignment horizontal="left" vertical="center"/>
    </xf>
    <xf numFmtId="0" fontId="26" fillId="8" borderId="0" xfId="4" applyFont="1" applyFill="1" applyAlignment="1">
      <alignment horizontal="left" vertical="center"/>
    </xf>
    <xf numFmtId="0" fontId="31" fillId="7" borderId="0" xfId="4" applyFont="1" applyFill="1" applyAlignment="1">
      <alignment horizontal="left" vertical="center"/>
    </xf>
    <xf numFmtId="166" fontId="12" fillId="10" borderId="0" xfId="5" applyNumberFormat="1" applyFont="1" applyFill="1" applyBorder="1" applyAlignment="1" applyProtection="1">
      <alignment horizontal="center" vertical="center"/>
      <protection hidden="1"/>
    </xf>
    <xf numFmtId="166" fontId="2" fillId="10" borderId="0" xfId="2" applyNumberFormat="1" applyFont="1" applyFill="1" applyBorder="1" applyAlignment="1" applyProtection="1">
      <alignment horizontal="center" vertical="center"/>
      <protection hidden="1"/>
    </xf>
    <xf numFmtId="9" fontId="29" fillId="0" borderId="0" xfId="3" applyFont="1" applyFill="1" applyAlignment="1">
      <alignment horizontal="center"/>
    </xf>
    <xf numFmtId="0" fontId="37" fillId="0" borderId="0" xfId="0" applyFont="1"/>
    <xf numFmtId="166" fontId="37" fillId="0" borderId="0" xfId="0" applyNumberFormat="1" applyFont="1"/>
    <xf numFmtId="0" fontId="37" fillId="0" borderId="0" xfId="0" applyFont="1" applyAlignment="1">
      <alignment horizontal="left" indent="2"/>
    </xf>
    <xf numFmtId="166" fontId="12" fillId="0" borderId="0" xfId="4" applyNumberFormat="1" applyFont="1" applyAlignment="1" applyProtection="1">
      <alignment horizontal="center" vertical="center"/>
      <protection hidden="1"/>
    </xf>
    <xf numFmtId="166" fontId="18" fillId="0" borderId="0" xfId="4" applyNumberFormat="1" applyFont="1" applyAlignment="1" applyProtection="1">
      <alignment horizontal="center" vertical="center"/>
      <protection hidden="1"/>
    </xf>
    <xf numFmtId="166" fontId="29" fillId="0" borderId="0" xfId="4" applyNumberFormat="1" applyFont="1" applyAlignment="1">
      <alignment vertical="center"/>
    </xf>
    <xf numFmtId="166" fontId="2" fillId="11" borderId="0" xfId="2" applyNumberFormat="1" applyFont="1" applyFill="1" applyBorder="1" applyAlignment="1" applyProtection="1">
      <alignment horizontal="center" vertical="center"/>
      <protection hidden="1"/>
    </xf>
    <xf numFmtId="166" fontId="34" fillId="0" borderId="0" xfId="1" applyNumberFormat="1" applyFont="1" applyFill="1" applyAlignment="1">
      <alignment horizontal="center"/>
    </xf>
    <xf numFmtId="166" fontId="35" fillId="0" borderId="0" xfId="1" applyNumberFormat="1" applyFont="1" applyFill="1" applyAlignment="1">
      <alignment horizontal="center"/>
    </xf>
    <xf numFmtId="9" fontId="18" fillId="3" borderId="0" xfId="3" applyFont="1" applyFill="1" applyBorder="1" applyAlignment="1" applyProtection="1">
      <alignment horizontal="center" vertical="center"/>
      <protection locked="0"/>
    </xf>
    <xf numFmtId="166" fontId="34" fillId="0" borderId="0" xfId="2" applyNumberFormat="1" applyFont="1" applyFill="1" applyAlignment="1">
      <alignment horizontal="center"/>
    </xf>
    <xf numFmtId="166" fontId="37" fillId="0" borderId="0" xfId="2" applyNumberFormat="1" applyFont="1"/>
    <xf numFmtId="166" fontId="4" fillId="0" borderId="0" xfId="4" applyNumberFormat="1" applyFont="1" applyAlignment="1">
      <alignment vertical="center"/>
    </xf>
    <xf numFmtId="166" fontId="29" fillId="0" borderId="0" xfId="3" applyNumberFormat="1" applyFont="1" applyFill="1" applyAlignment="1">
      <alignment horizontal="center"/>
    </xf>
    <xf numFmtId="166" fontId="2" fillId="10" borderId="0" xfId="2" applyNumberFormat="1" applyFont="1" applyFill="1" applyAlignment="1" applyProtection="1">
      <alignment horizontal="center" vertical="center"/>
      <protection locked="0"/>
    </xf>
    <xf numFmtId="41" fontId="12" fillId="11" borderId="0" xfId="1" applyNumberFormat="1" applyFont="1" applyFill="1" applyBorder="1" applyAlignment="1" applyProtection="1">
      <alignment horizontal="center" vertical="center"/>
      <protection hidden="1"/>
    </xf>
    <xf numFmtId="41" fontId="2" fillId="12" borderId="0" xfId="4" applyNumberFormat="1" applyFont="1" applyFill="1" applyAlignment="1" applyProtection="1">
      <alignment horizontal="center" vertical="center"/>
      <protection locked="0"/>
    </xf>
    <xf numFmtId="166" fontId="35" fillId="0" borderId="0" xfId="2" applyNumberFormat="1" applyFont="1" applyFill="1" applyAlignment="1">
      <alignment horizontal="center"/>
    </xf>
    <xf numFmtId="168" fontId="18" fillId="3" borderId="0" xfId="1" applyNumberFormat="1" applyFont="1" applyFill="1" applyBorder="1" applyAlignment="1" applyProtection="1">
      <alignment horizontal="center" vertical="center"/>
      <protection hidden="1"/>
    </xf>
    <xf numFmtId="168" fontId="34" fillId="12" borderId="0" xfId="1" applyNumberFormat="1" applyFont="1" applyFill="1" applyAlignment="1" applyProtection="1">
      <alignment horizontal="center" vertical="center"/>
      <protection hidden="1"/>
    </xf>
    <xf numFmtId="168" fontId="34" fillId="14" borderId="0" xfId="1" applyNumberFormat="1" applyFont="1" applyFill="1" applyAlignment="1" applyProtection="1">
      <alignment horizontal="center" vertical="center"/>
      <protection hidden="1"/>
    </xf>
    <xf numFmtId="168" fontId="36" fillId="7" borderId="0" xfId="1" applyNumberFormat="1" applyFont="1" applyFill="1" applyAlignment="1" applyProtection="1">
      <alignment horizontal="center" vertical="center"/>
      <protection hidden="1"/>
    </xf>
    <xf numFmtId="168" fontId="34" fillId="12" borderId="0" xfId="1" applyNumberFormat="1" applyFont="1" applyFill="1" applyAlignment="1" applyProtection="1">
      <alignment horizontal="left" vertical="center"/>
      <protection hidden="1"/>
    </xf>
    <xf numFmtId="168" fontId="34" fillId="14" borderId="0" xfId="1" applyNumberFormat="1" applyFont="1" applyFill="1" applyAlignment="1" applyProtection="1">
      <alignment horizontal="left" vertical="center"/>
      <protection hidden="1"/>
    </xf>
    <xf numFmtId="168" fontId="26" fillId="15" borderId="0" xfId="1" applyNumberFormat="1" applyFont="1" applyFill="1" applyAlignment="1" applyProtection="1">
      <alignment horizontal="left" vertical="center"/>
      <protection hidden="1"/>
    </xf>
    <xf numFmtId="168" fontId="26" fillId="8" borderId="0" xfId="1" applyNumberFormat="1" applyFont="1" applyFill="1" applyAlignment="1" applyProtection="1">
      <alignment horizontal="left" vertical="center"/>
      <protection hidden="1"/>
    </xf>
    <xf numFmtId="168" fontId="26" fillId="0" borderId="0" xfId="1" applyNumberFormat="1" applyFont="1" applyFill="1" applyAlignment="1" applyProtection="1">
      <alignment horizontal="left" vertical="center"/>
      <protection hidden="1"/>
    </xf>
    <xf numFmtId="168" fontId="36" fillId="7" borderId="0" xfId="1" applyNumberFormat="1" applyFont="1" applyFill="1" applyAlignment="1" applyProtection="1">
      <alignment horizontal="left" vertical="center"/>
      <protection hidden="1"/>
    </xf>
    <xf numFmtId="168" fontId="34" fillId="0" borderId="0" xfId="4" applyNumberFormat="1" applyFont="1" applyAlignment="1">
      <alignment horizontal="center"/>
    </xf>
    <xf numFmtId="168" fontId="35" fillId="0" borderId="0" xfId="4" applyNumberFormat="1" applyFont="1" applyAlignment="1">
      <alignment horizontal="center"/>
    </xf>
    <xf numFmtId="168" fontId="26" fillId="15" borderId="0" xfId="0" applyNumberFormat="1" applyFont="1" applyFill="1" applyAlignment="1" applyProtection="1">
      <alignment horizontal="center" vertical="center"/>
      <protection hidden="1"/>
    </xf>
    <xf numFmtId="168" fontId="26" fillId="8" borderId="0" xfId="0" applyNumberFormat="1" applyFont="1" applyFill="1" applyAlignment="1" applyProtection="1">
      <alignment horizontal="center" vertical="center"/>
      <protection hidden="1"/>
    </xf>
    <xf numFmtId="168" fontId="26" fillId="0" borderId="0" xfId="0" applyNumberFormat="1" applyFont="1" applyAlignment="1" applyProtection="1">
      <alignment horizontal="center" vertical="center"/>
      <protection hidden="1"/>
    </xf>
    <xf numFmtId="0" fontId="4" fillId="16" borderId="0" xfId="4" applyFont="1" applyFill="1" applyAlignment="1">
      <alignment vertical="center"/>
    </xf>
    <xf numFmtId="168" fontId="4" fillId="16" borderId="0" xfId="4" applyNumberFormat="1" applyFont="1" applyFill="1" applyAlignment="1">
      <alignment vertical="center"/>
    </xf>
    <xf numFmtId="168" fontId="16" fillId="16" borderId="0" xfId="4" applyNumberFormat="1" applyFont="1" applyFill="1" applyAlignment="1">
      <alignment horizontal="center" vertical="center"/>
    </xf>
    <xf numFmtId="1" fontId="55" fillId="20" borderId="0" xfId="4" applyNumberFormat="1" applyFont="1" applyFill="1" applyAlignment="1" applyProtection="1">
      <alignment horizontal="center" vertical="center"/>
      <protection locked="0"/>
    </xf>
    <xf numFmtId="9" fontId="55" fillId="19" borderId="0" xfId="3" applyFont="1" applyFill="1" applyBorder="1" applyAlignment="1" applyProtection="1">
      <alignment horizontal="center" vertical="center"/>
      <protection locked="0"/>
    </xf>
    <xf numFmtId="0" fontId="41" fillId="0" borderId="0" xfId="0" applyFont="1"/>
    <xf numFmtId="0" fontId="41" fillId="0" borderId="0" xfId="0" applyFont="1" applyAlignment="1">
      <alignment horizontal="center"/>
    </xf>
    <xf numFmtId="0" fontId="41" fillId="18" borderId="0" xfId="0" applyFont="1" applyFill="1"/>
    <xf numFmtId="0" fontId="39" fillId="0" borderId="0" xfId="0" applyFont="1"/>
    <xf numFmtId="0" fontId="42" fillId="0" borderId="0" xfId="0" applyFont="1" applyAlignment="1">
      <alignment horizontal="center"/>
    </xf>
    <xf numFmtId="0" fontId="42" fillId="0" borderId="0" xfId="0" applyFont="1"/>
    <xf numFmtId="0" fontId="42" fillId="18" borderId="0" xfId="0" applyFont="1" applyFill="1"/>
    <xf numFmtId="0" fontId="41" fillId="0" borderId="0" xfId="0" applyFont="1" applyAlignment="1">
      <alignment horizontal="left" indent="2"/>
    </xf>
    <xf numFmtId="0" fontId="8" fillId="9" borderId="0" xfId="4" applyFont="1" applyFill="1" applyAlignment="1">
      <alignment horizontal="left" vertical="center"/>
    </xf>
    <xf numFmtId="9" fontId="8" fillId="17" borderId="0" xfId="3" applyFont="1" applyFill="1" applyAlignment="1" applyProtection="1">
      <alignment horizontal="center"/>
    </xf>
    <xf numFmtId="166" fontId="8" fillId="17" borderId="0" xfId="2" applyNumberFormat="1" applyFont="1" applyFill="1" applyAlignment="1" applyProtection="1">
      <alignment horizontal="center"/>
    </xf>
    <xf numFmtId="0" fontId="43" fillId="0" borderId="0" xfId="4" applyFont="1" applyAlignment="1">
      <alignment horizontal="left" vertical="center"/>
    </xf>
    <xf numFmtId="166" fontId="41" fillId="0" borderId="0" xfId="0" applyNumberFormat="1" applyFont="1" applyAlignment="1">
      <alignment horizontal="center"/>
    </xf>
    <xf numFmtId="168" fontId="41" fillId="0" borderId="0" xfId="1" applyNumberFormat="1" applyFont="1" applyFill="1" applyAlignment="1" applyProtection="1">
      <alignment horizontal="center"/>
    </xf>
    <xf numFmtId="0" fontId="8" fillId="17" borderId="0" xfId="4" applyFont="1" applyFill="1" applyAlignment="1">
      <alignment horizontal="center" vertical="center"/>
    </xf>
    <xf numFmtId="166" fontId="8" fillId="17" borderId="0" xfId="0" applyNumberFormat="1" applyFont="1" applyFill="1" applyAlignment="1">
      <alignment horizontal="center" vertical="center"/>
    </xf>
    <xf numFmtId="168" fontId="8" fillId="17" borderId="0" xfId="1" applyNumberFormat="1" applyFont="1" applyFill="1" applyAlignment="1" applyProtection="1">
      <alignment horizontal="center" vertical="center"/>
    </xf>
    <xf numFmtId="0" fontId="9" fillId="18" borderId="0" xfId="4" applyFont="1" applyFill="1" applyAlignment="1">
      <alignment horizontal="center" vertical="center"/>
    </xf>
    <xf numFmtId="0" fontId="38" fillId="18" borderId="0" xfId="4" applyFont="1" applyFill="1" applyAlignment="1">
      <alignment horizontal="center" vertical="center"/>
    </xf>
    <xf numFmtId="168" fontId="8" fillId="17" borderId="0" xfId="4" applyNumberFormat="1" applyFont="1" applyFill="1" applyAlignment="1">
      <alignment horizontal="center"/>
    </xf>
    <xf numFmtId="0" fontId="39" fillId="0" borderId="0" xfId="0" applyFont="1" applyAlignment="1">
      <alignment horizontal="center"/>
    </xf>
    <xf numFmtId="168" fontId="41" fillId="0" borderId="0" xfId="0" applyNumberFormat="1" applyFont="1" applyAlignment="1">
      <alignment horizontal="center"/>
    </xf>
    <xf numFmtId="0" fontId="42" fillId="0" borderId="0" xfId="0" applyFont="1" applyAlignment="1">
      <alignment horizontal="left"/>
    </xf>
    <xf numFmtId="0" fontId="8" fillId="9" borderId="0" xfId="4" applyFont="1" applyFill="1" applyAlignment="1">
      <alignment horizontal="center" vertical="center"/>
    </xf>
    <xf numFmtId="0" fontId="40" fillId="18" borderId="0" xfId="4" applyFont="1" applyFill="1" applyAlignment="1">
      <alignment horizontal="left" vertical="center"/>
    </xf>
    <xf numFmtId="0" fontId="41" fillId="18" borderId="0" xfId="4" applyFont="1" applyFill="1" applyAlignment="1">
      <alignment horizontal="left" vertical="center"/>
    </xf>
    <xf numFmtId="0" fontId="41" fillId="19" borderId="0" xfId="0" applyFont="1" applyFill="1" applyProtection="1">
      <protection locked="0"/>
    </xf>
    <xf numFmtId="166" fontId="41" fillId="19" borderId="0" xfId="2" applyNumberFormat="1" applyFont="1" applyFill="1" applyAlignment="1" applyProtection="1">
      <alignment horizontal="center"/>
      <protection locked="0"/>
    </xf>
    <xf numFmtId="0" fontId="41" fillId="19" borderId="0" xfId="0" applyFont="1" applyFill="1" applyAlignment="1" applyProtection="1">
      <alignment horizontal="center"/>
      <protection locked="0"/>
    </xf>
    <xf numFmtId="0" fontId="45" fillId="9" borderId="0" xfId="4" applyFont="1" applyFill="1" applyAlignment="1">
      <alignment horizontal="left" vertical="center"/>
    </xf>
    <xf numFmtId="0" fontId="45" fillId="9" borderId="0" xfId="4" applyFont="1" applyFill="1" applyAlignment="1">
      <alignment horizontal="center" vertical="center"/>
    </xf>
    <xf numFmtId="0" fontId="46" fillId="9" borderId="0" xfId="4" applyFont="1" applyFill="1" applyAlignment="1">
      <alignment horizontal="left" vertical="center"/>
    </xf>
    <xf numFmtId="0" fontId="47" fillId="9" borderId="0" xfId="4" applyFont="1" applyFill="1" applyAlignment="1">
      <alignment horizontal="left" vertical="center"/>
    </xf>
    <xf numFmtId="0" fontId="47" fillId="0" borderId="0" xfId="0" applyFont="1" applyAlignment="1">
      <alignment horizontal="left" vertical="center"/>
    </xf>
    <xf numFmtId="0" fontId="45" fillId="17" borderId="0" xfId="4" applyFont="1" applyFill="1" applyAlignment="1">
      <alignment horizontal="center" vertical="center"/>
    </xf>
    <xf numFmtId="166" fontId="45" fillId="17" borderId="0" xfId="0" applyNumberFormat="1" applyFont="1" applyFill="1" applyAlignment="1">
      <alignment horizontal="center" vertical="center"/>
    </xf>
    <xf numFmtId="168" fontId="45" fillId="17" borderId="0" xfId="1" applyNumberFormat="1" applyFont="1" applyFill="1" applyAlignment="1" applyProtection="1">
      <alignment horizontal="center" vertical="center"/>
    </xf>
    <xf numFmtId="0" fontId="53" fillId="17" borderId="0" xfId="4" applyFont="1" applyFill="1" applyAlignment="1">
      <alignment horizontal="center" vertical="center"/>
    </xf>
    <xf numFmtId="0" fontId="48" fillId="17" borderId="0" xfId="4" applyFont="1" applyFill="1" applyAlignment="1">
      <alignment horizontal="center" vertical="center"/>
    </xf>
    <xf numFmtId="166" fontId="45" fillId="17" borderId="0" xfId="2" applyNumberFormat="1" applyFont="1" applyFill="1" applyAlignment="1" applyProtection="1">
      <alignment horizontal="center" vertical="center"/>
    </xf>
    <xf numFmtId="0" fontId="48" fillId="0" borderId="0" xfId="0" applyFont="1" applyAlignment="1">
      <alignment horizontal="center" vertical="center"/>
    </xf>
    <xf numFmtId="0" fontId="47" fillId="0" borderId="0" xfId="0" applyFont="1"/>
    <xf numFmtId="0" fontId="47" fillId="0" borderId="0" xfId="0" applyFont="1" applyAlignment="1">
      <alignment horizontal="center"/>
    </xf>
    <xf numFmtId="168" fontId="47" fillId="0" borderId="0" xfId="0" applyNumberFormat="1" applyFont="1" applyAlignment="1">
      <alignment horizontal="center"/>
    </xf>
    <xf numFmtId="166" fontId="47" fillId="0" borderId="0" xfId="0" applyNumberFormat="1" applyFont="1" applyAlignment="1">
      <alignment horizontal="center"/>
    </xf>
    <xf numFmtId="0" fontId="49" fillId="0" borderId="0" xfId="0" applyFont="1"/>
    <xf numFmtId="166" fontId="47" fillId="0" borderId="0" xfId="2" applyNumberFormat="1" applyFont="1" applyAlignment="1" applyProtection="1">
      <alignment horizontal="center"/>
    </xf>
    <xf numFmtId="168" fontId="47" fillId="0" borderId="0" xfId="1" applyNumberFormat="1" applyFont="1" applyAlignment="1" applyProtection="1">
      <alignment horizontal="center"/>
    </xf>
    <xf numFmtId="0" fontId="48" fillId="0" borderId="0" xfId="0" applyFont="1"/>
    <xf numFmtId="2" fontId="47" fillId="0" borderId="0" xfId="0" applyNumberFormat="1" applyFont="1"/>
    <xf numFmtId="165" fontId="47" fillId="0" borderId="0" xfId="2" applyNumberFormat="1" applyFont="1" applyProtection="1"/>
    <xf numFmtId="1" fontId="47" fillId="0" borderId="0" xfId="0" applyNumberFormat="1" applyFont="1"/>
    <xf numFmtId="167" fontId="47" fillId="0" borderId="0" xfId="1" applyNumberFormat="1" applyFont="1" applyProtection="1"/>
    <xf numFmtId="169" fontId="47" fillId="0" borderId="0" xfId="0" applyNumberFormat="1" applyFont="1"/>
    <xf numFmtId="167" fontId="47" fillId="0" borderId="0" xfId="0" applyNumberFormat="1" applyFont="1"/>
    <xf numFmtId="167" fontId="47" fillId="0" borderId="0" xfId="1" applyNumberFormat="1" applyFont="1" applyAlignment="1" applyProtection="1">
      <alignment horizontal="center"/>
    </xf>
    <xf numFmtId="0" fontId="51" fillId="0" borderId="0" xfId="4" applyFont="1" applyAlignment="1">
      <alignment horizontal="left" vertical="center"/>
    </xf>
    <xf numFmtId="0" fontId="47" fillId="0" borderId="0" xfId="0" applyFont="1" applyAlignment="1">
      <alignment horizontal="left" indent="2"/>
    </xf>
    <xf numFmtId="0" fontId="60" fillId="0" borderId="0" xfId="0" applyFont="1" applyAlignment="1">
      <alignment horizontal="center"/>
    </xf>
    <xf numFmtId="0" fontId="60" fillId="0" borderId="0" xfId="0" applyFont="1"/>
    <xf numFmtId="0" fontId="50" fillId="0" borderId="0" xfId="4" applyFont="1" applyAlignment="1">
      <alignment horizontal="left" vertical="center"/>
    </xf>
    <xf numFmtId="0" fontId="50" fillId="0" borderId="0" xfId="4" applyFont="1" applyAlignment="1">
      <alignment horizontal="center" vertical="center"/>
    </xf>
    <xf numFmtId="166" fontId="47" fillId="0" borderId="0" xfId="2" applyNumberFormat="1" applyFont="1" applyFill="1" applyAlignment="1" applyProtection="1">
      <alignment horizontal="center"/>
    </xf>
    <xf numFmtId="0" fontId="60" fillId="0" borderId="0" xfId="0" applyFont="1" applyAlignment="1">
      <alignment horizontal="left"/>
    </xf>
    <xf numFmtId="166" fontId="52" fillId="0" borderId="0" xfId="0" applyNumberFormat="1" applyFont="1" applyAlignment="1">
      <alignment horizontal="center"/>
    </xf>
    <xf numFmtId="3" fontId="47" fillId="0" borderId="0" xfId="0" applyNumberFormat="1" applyFont="1" applyAlignment="1">
      <alignment horizontal="center"/>
    </xf>
    <xf numFmtId="9" fontId="47" fillId="0" borderId="0" xfId="0" applyNumberFormat="1" applyFont="1" applyAlignment="1">
      <alignment horizontal="center"/>
    </xf>
    <xf numFmtId="0" fontId="53" fillId="0" borderId="0" xfId="4" applyFont="1" applyAlignment="1">
      <alignment horizontal="center" vertical="center" wrapText="1"/>
    </xf>
    <xf numFmtId="0" fontId="53" fillId="0" borderId="0" xfId="4" applyFont="1" applyAlignment="1">
      <alignment vertical="center"/>
    </xf>
    <xf numFmtId="0" fontId="54" fillId="0" borderId="0" xfId="4" applyFont="1" applyAlignment="1">
      <alignment vertical="center" wrapText="1"/>
    </xf>
    <xf numFmtId="0" fontId="60" fillId="18" borderId="0" xfId="0" applyFont="1" applyFill="1" applyAlignment="1">
      <alignment horizontal="left"/>
    </xf>
    <xf numFmtId="0" fontId="53" fillId="0" borderId="0" xfId="4" applyFont="1" applyAlignment="1">
      <alignment vertical="center" wrapText="1"/>
    </xf>
    <xf numFmtId="0" fontId="46" fillId="0" borderId="0" xfId="4" applyFont="1" applyAlignment="1">
      <alignment horizontal="center" vertical="center"/>
    </xf>
    <xf numFmtId="0" fontId="46" fillId="0" borderId="0" xfId="4" applyFont="1" applyAlignment="1">
      <alignment vertical="center"/>
    </xf>
    <xf numFmtId="0" fontId="55" fillId="0" borderId="0" xfId="4" applyFont="1" applyAlignment="1">
      <alignment horizontal="center" vertical="center" wrapText="1"/>
    </xf>
    <xf numFmtId="0" fontId="55" fillId="0" borderId="0" xfId="4" applyFont="1" applyAlignment="1">
      <alignment horizontal="center" vertical="center"/>
    </xf>
    <xf numFmtId="1" fontId="55" fillId="0" borderId="0" xfId="4" applyNumberFormat="1" applyFont="1" applyAlignment="1">
      <alignment horizontal="center" vertical="center"/>
    </xf>
    <xf numFmtId="0" fontId="54" fillId="0" borderId="0" xfId="0" applyFont="1"/>
    <xf numFmtId="0" fontId="45" fillId="9" borderId="0" xfId="0" applyFont="1" applyFill="1" applyAlignment="1">
      <alignment horizontal="center"/>
    </xf>
    <xf numFmtId="0" fontId="45" fillId="0" borderId="0" xfId="4" applyFont="1" applyAlignment="1">
      <alignment horizontal="center" vertical="center" wrapText="1"/>
    </xf>
    <xf numFmtId="166" fontId="46" fillId="0" borderId="0" xfId="4" applyNumberFormat="1" applyFont="1" applyAlignment="1">
      <alignment horizontal="center" vertical="center"/>
    </xf>
    <xf numFmtId="1" fontId="46" fillId="0" borderId="0" xfId="4" applyNumberFormat="1" applyFont="1" applyAlignment="1">
      <alignment horizontal="center" vertical="center"/>
    </xf>
    <xf numFmtId="0" fontId="47" fillId="0" borderId="0" xfId="0" applyFont="1" applyAlignment="1">
      <alignment horizontal="left"/>
    </xf>
    <xf numFmtId="0" fontId="56" fillId="0" borderId="0" xfId="4" applyFont="1" applyAlignment="1">
      <alignment horizontal="right" vertical="center"/>
    </xf>
    <xf numFmtId="0" fontId="53" fillId="0" borderId="0" xfId="4" applyFont="1" applyAlignment="1">
      <alignment horizontal="center" vertical="center"/>
    </xf>
    <xf numFmtId="0" fontId="57" fillId="0" borderId="0" xfId="4" applyFont="1" applyAlignment="1">
      <alignment horizontal="center" vertical="center"/>
    </xf>
    <xf numFmtId="166" fontId="55" fillId="0" borderId="0" xfId="2" applyNumberFormat="1" applyFont="1" applyFill="1" applyBorder="1" applyAlignment="1" applyProtection="1">
      <alignment horizontal="center" vertical="center"/>
    </xf>
    <xf numFmtId="166" fontId="58" fillId="0" borderId="0" xfId="2" applyNumberFormat="1" applyFont="1" applyFill="1" applyBorder="1" applyAlignment="1" applyProtection="1">
      <alignment horizontal="center" vertical="center"/>
    </xf>
    <xf numFmtId="0" fontId="59" fillId="0" borderId="0" xfId="4" applyFont="1" applyAlignment="1">
      <alignment horizontal="center" vertical="center"/>
    </xf>
    <xf numFmtId="9" fontId="46" fillId="0" borderId="0" xfId="3" applyFont="1" applyFill="1" applyBorder="1" applyAlignment="1" applyProtection="1">
      <alignment horizontal="center" vertical="center"/>
    </xf>
    <xf numFmtId="9" fontId="58" fillId="0" borderId="0" xfId="3" applyFont="1" applyFill="1" applyBorder="1" applyAlignment="1" applyProtection="1">
      <alignment horizontal="center" vertical="center"/>
    </xf>
    <xf numFmtId="166" fontId="58" fillId="0" borderId="0" xfId="4" applyNumberFormat="1" applyFont="1" applyAlignment="1">
      <alignment horizontal="center" vertical="center"/>
    </xf>
    <xf numFmtId="0" fontId="47" fillId="0" borderId="0" xfId="4" applyFont="1" applyAlignment="1">
      <alignment horizontal="center" vertical="center"/>
    </xf>
    <xf numFmtId="0" fontId="47" fillId="0" borderId="0" xfId="4" applyFont="1" applyAlignment="1">
      <alignment vertical="center"/>
    </xf>
    <xf numFmtId="41" fontId="46" fillId="0" borderId="0" xfId="1" applyNumberFormat="1" applyFont="1" applyFill="1" applyBorder="1" applyAlignment="1" applyProtection="1">
      <alignment horizontal="center" vertical="center"/>
    </xf>
    <xf numFmtId="168" fontId="58" fillId="0" borderId="0" xfId="1" applyNumberFormat="1" applyFont="1" applyFill="1" applyBorder="1" applyAlignment="1" applyProtection="1">
      <alignment horizontal="center" vertical="center"/>
    </xf>
    <xf numFmtId="166" fontId="47" fillId="0" borderId="0" xfId="0" applyNumberFormat="1" applyFont="1"/>
    <xf numFmtId="167" fontId="47" fillId="0" borderId="0" xfId="1" applyNumberFormat="1" applyFont="1" applyAlignment="1" applyProtection="1"/>
    <xf numFmtId="0" fontId="48" fillId="0" borderId="1" xfId="0" applyFont="1" applyBorder="1"/>
    <xf numFmtId="166" fontId="48" fillId="0" borderId="1" xfId="0" applyNumberFormat="1" applyFont="1" applyBorder="1" applyAlignment="1">
      <alignment horizontal="center"/>
    </xf>
    <xf numFmtId="0" fontId="66" fillId="0" borderId="0" xfId="4" applyFont="1" applyAlignment="1">
      <alignment horizontal="right" vertical="center"/>
    </xf>
    <xf numFmtId="0" fontId="61" fillId="0" borderId="0" xfId="0" applyFont="1"/>
    <xf numFmtId="0" fontId="61" fillId="0" borderId="0" xfId="0" applyFont="1" applyAlignment="1">
      <alignment horizontal="center"/>
    </xf>
    <xf numFmtId="0" fontId="55" fillId="0" borderId="0" xfId="4" applyFont="1" applyAlignment="1">
      <alignment horizontal="left" vertical="center" wrapText="1" indent="2"/>
    </xf>
    <xf numFmtId="166" fontId="55" fillId="0" borderId="0" xfId="4" applyNumberFormat="1" applyFont="1" applyAlignment="1">
      <alignment horizontal="center" vertical="center"/>
    </xf>
    <xf numFmtId="0" fontId="48" fillId="0" borderId="0" xfId="4" applyFont="1" applyAlignment="1">
      <alignment vertical="center"/>
    </xf>
    <xf numFmtId="168" fontId="46" fillId="0" borderId="0" xfId="1" applyNumberFormat="1" applyFont="1" applyFill="1" applyBorder="1" applyAlignment="1" applyProtection="1">
      <alignment horizontal="center" vertical="center"/>
    </xf>
    <xf numFmtId="168" fontId="55" fillId="0" borderId="0" xfId="1" applyNumberFormat="1" applyFont="1" applyFill="1" applyBorder="1" applyAlignment="1" applyProtection="1">
      <alignment horizontal="center" vertical="center"/>
    </xf>
    <xf numFmtId="0" fontId="62" fillId="0" borderId="0" xfId="0" applyFont="1"/>
    <xf numFmtId="9" fontId="55" fillId="0" borderId="0" xfId="3" applyFont="1" applyFill="1" applyBorder="1" applyAlignment="1" applyProtection="1">
      <alignment horizontal="center" vertical="center"/>
    </xf>
    <xf numFmtId="0" fontId="55" fillId="0" borderId="0" xfId="4" applyFont="1" applyAlignment="1">
      <alignment vertical="center"/>
    </xf>
    <xf numFmtId="0" fontId="55" fillId="0" borderId="0" xfId="4" applyFont="1" applyAlignment="1">
      <alignment vertical="center" wrapText="1"/>
    </xf>
    <xf numFmtId="0" fontId="65" fillId="0" borderId="0" xfId="0" applyFont="1" applyAlignment="1">
      <alignment vertical="center"/>
    </xf>
    <xf numFmtId="0" fontId="45" fillId="17" borderId="0" xfId="4" applyFont="1" applyFill="1" applyAlignment="1">
      <alignment horizontal="left" vertical="center"/>
    </xf>
    <xf numFmtId="0" fontId="53" fillId="17" borderId="0" xfId="4" applyFont="1" applyFill="1" applyAlignment="1">
      <alignment horizontal="left" vertical="center"/>
    </xf>
    <xf numFmtId="0" fontId="53" fillId="0" borderId="0" xfId="4" applyFont="1" applyAlignment="1">
      <alignment horizontal="left" vertical="center"/>
    </xf>
    <xf numFmtId="166" fontId="45" fillId="17" borderId="0" xfId="2" applyNumberFormat="1" applyFont="1" applyFill="1" applyAlignment="1" applyProtection="1">
      <alignment horizontal="center"/>
    </xf>
    <xf numFmtId="168" fontId="61" fillId="0" borderId="0" xfId="0" applyNumberFormat="1" applyFont="1" applyAlignment="1">
      <alignment horizontal="center"/>
    </xf>
    <xf numFmtId="166" fontId="61" fillId="0" borderId="0" xfId="0" applyNumberFormat="1" applyFont="1" applyAlignment="1">
      <alignment horizontal="center"/>
    </xf>
    <xf numFmtId="9" fontId="45" fillId="17" borderId="0" xfId="3" applyFont="1" applyFill="1" applyAlignment="1" applyProtection="1">
      <alignment horizontal="center"/>
    </xf>
    <xf numFmtId="166" fontId="47" fillId="0" borderId="0" xfId="2" applyNumberFormat="1" applyFont="1" applyAlignment="1" applyProtection="1">
      <alignment horizontal="left"/>
    </xf>
    <xf numFmtId="0" fontId="61" fillId="17" borderId="0" xfId="0" applyFont="1" applyFill="1" applyAlignment="1">
      <alignment horizontal="center"/>
    </xf>
    <xf numFmtId="0" fontId="53" fillId="5" borderId="0" xfId="4" applyFont="1" applyFill="1" applyAlignment="1">
      <alignment horizontal="center" vertical="center" wrapText="1"/>
    </xf>
    <xf numFmtId="0" fontId="63" fillId="0" borderId="0" xfId="4" applyFont="1" applyAlignment="1">
      <alignment vertical="center"/>
    </xf>
    <xf numFmtId="0" fontId="46" fillId="0" borderId="0" xfId="4" applyFont="1" applyAlignment="1">
      <alignment horizontal="left" vertical="center"/>
    </xf>
    <xf numFmtId="0" fontId="47" fillId="0" borderId="0" xfId="4" applyFont="1" applyAlignment="1">
      <alignment horizontal="left" vertical="center"/>
    </xf>
    <xf numFmtId="0" fontId="44" fillId="0" borderId="0" xfId="0" applyFont="1" applyAlignment="1">
      <alignment horizontal="left" indent="2"/>
    </xf>
    <xf numFmtId="0" fontId="44" fillId="0" borderId="0" xfId="0" applyFont="1"/>
    <xf numFmtId="41" fontId="41" fillId="0" borderId="0" xfId="0" applyNumberFormat="1" applyFont="1" applyAlignment="1">
      <alignment horizontal="center"/>
    </xf>
    <xf numFmtId="166" fontId="46" fillId="20" borderId="0" xfId="4" applyNumberFormat="1" applyFont="1" applyFill="1" applyAlignment="1" applyProtection="1">
      <alignment horizontal="center" vertical="center"/>
      <protection locked="0"/>
    </xf>
    <xf numFmtId="1" fontId="46" fillId="20" borderId="0" xfId="4" applyNumberFormat="1" applyFont="1" applyFill="1" applyAlignment="1" applyProtection="1">
      <alignment horizontal="center" vertical="center"/>
      <protection locked="0"/>
    </xf>
    <xf numFmtId="0" fontId="44" fillId="19" borderId="0" xfId="0" applyFont="1" applyFill="1" applyProtection="1">
      <protection locked="0"/>
    </xf>
    <xf numFmtId="166" fontId="44" fillId="19" borderId="0" xfId="2" applyNumberFormat="1" applyFont="1" applyFill="1" applyAlignment="1" applyProtection="1">
      <alignment horizontal="center"/>
      <protection locked="0"/>
    </xf>
    <xf numFmtId="9" fontId="8" fillId="17" borderId="0" xfId="2" applyNumberFormat="1" applyFont="1" applyFill="1" applyAlignment="1" applyProtection="1">
      <alignment horizontal="center"/>
    </xf>
    <xf numFmtId="0" fontId="47" fillId="0" borderId="0" xfId="0" applyFont="1" applyAlignment="1" applyProtection="1">
      <alignment horizontal="left" vertical="center"/>
      <protection locked="0"/>
    </xf>
    <xf numFmtId="2" fontId="8" fillId="0" borderId="0" xfId="0" applyNumberFormat="1" applyFont="1" applyAlignment="1" applyProtection="1">
      <alignment horizontal="center" vertical="center"/>
      <protection locked="0"/>
    </xf>
    <xf numFmtId="0" fontId="48" fillId="0" borderId="0" xfId="0" applyFont="1" applyAlignment="1" applyProtection="1">
      <alignment horizontal="center" vertical="center"/>
      <protection locked="0"/>
    </xf>
    <xf numFmtId="2" fontId="41" fillId="0" borderId="0" xfId="0" applyNumberFormat="1" applyFont="1" applyAlignment="1" applyProtection="1">
      <alignment horizontal="center"/>
      <protection locked="0"/>
    </xf>
    <xf numFmtId="0" fontId="47" fillId="0" borderId="0" xfId="0" applyFont="1" applyProtection="1">
      <protection locked="0"/>
    </xf>
    <xf numFmtId="2" fontId="44" fillId="0" borderId="0" xfId="2" applyNumberFormat="1" applyFont="1" applyFill="1" applyAlignment="1" applyProtection="1">
      <alignment horizontal="center"/>
      <protection locked="0"/>
    </xf>
    <xf numFmtId="2" fontId="47" fillId="0" borderId="0" xfId="0" applyNumberFormat="1" applyFont="1" applyProtection="1">
      <protection locked="0"/>
    </xf>
    <xf numFmtId="49" fontId="44" fillId="19" borderId="0" xfId="0" applyNumberFormat="1" applyFont="1" applyFill="1" applyProtection="1">
      <protection locked="0"/>
    </xf>
    <xf numFmtId="49" fontId="41" fillId="19" borderId="0" xfId="0" applyNumberFormat="1" applyFont="1" applyFill="1" applyProtection="1">
      <protection locked="0"/>
    </xf>
    <xf numFmtId="164" fontId="41" fillId="19" borderId="0" xfId="0" applyNumberFormat="1" applyFont="1" applyFill="1" applyAlignment="1" applyProtection="1">
      <alignment horizontal="center"/>
      <protection locked="0"/>
    </xf>
    <xf numFmtId="166" fontId="41" fillId="0" borderId="0" xfId="2" applyNumberFormat="1" applyFont="1" applyFill="1" applyAlignment="1" applyProtection="1">
      <alignment horizontal="center"/>
    </xf>
    <xf numFmtId="166" fontId="55" fillId="0" borderId="0" xfId="0" applyNumberFormat="1" applyFont="1" applyAlignment="1">
      <alignment horizontal="center"/>
    </xf>
    <xf numFmtId="49" fontId="44" fillId="0" borderId="0" xfId="0" applyNumberFormat="1" applyFont="1"/>
    <xf numFmtId="0" fontId="47" fillId="0" borderId="0" xfId="1" applyNumberFormat="1" applyFont="1" applyAlignment="1" applyProtection="1">
      <alignment horizontal="center"/>
    </xf>
    <xf numFmtId="0" fontId="47" fillId="16" borderId="0" xfId="0" applyFont="1" applyFill="1"/>
    <xf numFmtId="0" fontId="47" fillId="16" borderId="0" xfId="0" applyFont="1" applyFill="1" applyAlignment="1">
      <alignment horizontal="center"/>
    </xf>
    <xf numFmtId="166" fontId="47" fillId="16" borderId="0" xfId="2" applyNumberFormat="1" applyFont="1" applyFill="1" applyAlignment="1" applyProtection="1">
      <alignment horizontal="center"/>
    </xf>
    <xf numFmtId="3" fontId="47" fillId="0" borderId="0" xfId="0" applyNumberFormat="1" applyFont="1"/>
    <xf numFmtId="0" fontId="67" fillId="19" borderId="0" xfId="4" applyFont="1" applyFill="1" applyAlignment="1">
      <alignment horizontal="center" vertical="center"/>
    </xf>
    <xf numFmtId="0" fontId="56" fillId="0" borderId="0" xfId="4" applyFont="1" applyAlignment="1">
      <alignment horizontal="right" vertical="center"/>
    </xf>
    <xf numFmtId="0" fontId="59" fillId="0" borderId="0" xfId="4" applyFont="1" applyAlignment="1">
      <alignment horizontal="center" vertical="center"/>
    </xf>
    <xf numFmtId="0" fontId="63" fillId="0" borderId="0" xfId="4" applyFont="1" applyAlignment="1">
      <alignment horizontal="center" vertical="center"/>
    </xf>
    <xf numFmtId="0" fontId="53" fillId="5" borderId="0" xfId="4" applyFont="1" applyFill="1" applyAlignment="1">
      <alignment horizontal="center" vertical="center" wrapText="1"/>
    </xf>
    <xf numFmtId="0" fontId="53" fillId="5" borderId="0" xfId="4" applyFont="1" applyFill="1" applyAlignment="1">
      <alignment horizontal="center" vertical="center"/>
    </xf>
    <xf numFmtId="0" fontId="53" fillId="2" borderId="0" xfId="4" applyFont="1" applyFill="1" applyAlignment="1">
      <alignment horizontal="center" vertical="center" wrapText="1"/>
    </xf>
    <xf numFmtId="0" fontId="30" fillId="6" borderId="0" xfId="4" applyFont="1" applyFill="1" applyAlignment="1">
      <alignment horizontal="center" vertical="center" wrapText="1"/>
    </xf>
    <xf numFmtId="0" fontId="6" fillId="0" borderId="0" xfId="4" applyFont="1" applyAlignment="1">
      <alignment horizontal="center" vertical="center"/>
    </xf>
    <xf numFmtId="0" fontId="12" fillId="0" borderId="0" xfId="4" applyFont="1" applyAlignment="1">
      <alignment horizontal="center" vertical="center"/>
    </xf>
    <xf numFmtId="0" fontId="18" fillId="0" borderId="0" xfId="4" applyFont="1" applyAlignment="1">
      <alignment horizontal="left" vertical="center" wrapText="1"/>
    </xf>
    <xf numFmtId="0" fontId="9" fillId="3" borderId="0" xfId="4" applyFont="1" applyFill="1" applyAlignment="1">
      <alignment horizontal="center" vertical="center"/>
    </xf>
    <xf numFmtId="0" fontId="9" fillId="5" borderId="0" xfId="4" applyFont="1" applyFill="1" applyAlignment="1">
      <alignment horizontal="center" vertical="center" wrapText="1"/>
    </xf>
    <xf numFmtId="0" fontId="9" fillId="5" borderId="0" xfId="4" applyFont="1" applyFill="1" applyAlignment="1">
      <alignment horizontal="center" vertical="center"/>
    </xf>
    <xf numFmtId="0" fontId="24" fillId="3" borderId="0" xfId="4" applyFont="1" applyFill="1" applyAlignment="1">
      <alignment horizontal="center" vertical="center"/>
    </xf>
    <xf numFmtId="0" fontId="23" fillId="4" borderId="0" xfId="4" applyFont="1" applyFill="1" applyAlignment="1">
      <alignment horizontal="center" vertical="center"/>
    </xf>
    <xf numFmtId="0" fontId="8" fillId="0" borderId="0" xfId="4" applyFont="1" applyAlignment="1">
      <alignment horizontal="center" vertical="center"/>
    </xf>
    <xf numFmtId="0" fontId="16" fillId="0" borderId="0" xfId="4" applyFont="1" applyAlignment="1">
      <alignment horizontal="right" vertical="center"/>
    </xf>
    <xf numFmtId="0" fontId="6" fillId="0" borderId="0" xfId="4" applyFont="1" applyAlignment="1">
      <alignment horizontal="left" vertical="center" indent="1"/>
    </xf>
    <xf numFmtId="0" fontId="21" fillId="0" borderId="0" xfId="4" applyFont="1" applyAlignment="1">
      <alignment horizontal="center" vertical="center"/>
    </xf>
    <xf numFmtId="0" fontId="20" fillId="0" borderId="0" xfId="4" applyFont="1" applyAlignment="1">
      <alignment horizontal="left" vertical="center" wrapText="1"/>
    </xf>
    <xf numFmtId="166" fontId="16" fillId="0" borderId="0" xfId="4" applyNumberFormat="1" applyFont="1" applyAlignment="1">
      <alignment horizontal="right" vertical="center"/>
    </xf>
  </cellXfs>
  <cellStyles count="6">
    <cellStyle name="Comma" xfId="1" builtinId="3"/>
    <cellStyle name="Currency" xfId="2" builtinId="4"/>
    <cellStyle name="Currency 2" xfId="5" xr:uid="{CFAFE8A7-F623-4C96-B9E7-7B9E7FC585B6}"/>
    <cellStyle name="Normal" xfId="0" builtinId="0"/>
    <cellStyle name="Normal 2 2" xfId="4" xr:uid="{F396096F-87E1-4B3B-8456-19A4F26F01FF}"/>
    <cellStyle name="Percent" xfId="3" builtinId="5"/>
  </cellStyles>
  <dxfs count="0"/>
  <tableStyles count="1" defaultTableStyle="TableStyleMedium2" defaultPivotStyle="PivotStyleLight16">
    <tableStyle name="Invisible" pivot="0" table="0" count="0" xr9:uid="{FD16EDAE-9072-4A26-BB11-F01D45F9797D}"/>
  </tableStyles>
  <colors>
    <mruColors>
      <color rgb="FF671A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4</xdr:row>
          <xdr:rowOff>69850</xdr:rowOff>
        </xdr:from>
        <xdr:to>
          <xdr:col>0</xdr:col>
          <xdr:colOff>1631950</xdr:colOff>
          <xdr:row>6</xdr:row>
          <xdr:rowOff>234950</xdr:rowOff>
        </xdr:to>
        <xdr:sp macro="" textlink="">
          <xdr:nvSpPr>
            <xdr:cNvPr id="1025" name="CommandButtonQuestions"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4.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CF35A-9BE0-43D6-87A6-73AC43612EEC}">
  <sheetPr codeName="Sheet2"/>
  <dimension ref="A1:AB15"/>
  <sheetViews>
    <sheetView showGridLines="0" zoomScaleNormal="100" workbookViewId="0">
      <pane ySplit="2" topLeftCell="A3" activePane="bottomLeft" state="frozen"/>
      <selection pane="bottomLeft" activeCell="A4" sqref="A4"/>
    </sheetView>
  </sheetViews>
  <sheetFormatPr defaultColWidth="8.90625" defaultRowHeight="15.5" x14ac:dyDescent="0.35"/>
  <cols>
    <col min="1" max="1" width="34.36328125" style="204" customWidth="1"/>
    <col min="2" max="2" width="11.54296875" style="203" customWidth="1"/>
    <col min="3" max="3" width="12.81640625" style="203" customWidth="1"/>
    <col min="4" max="4" width="2.36328125" style="204" customWidth="1"/>
    <col min="5" max="5" width="34.36328125" style="204" customWidth="1"/>
    <col min="6" max="6" width="11.54296875" style="203" customWidth="1"/>
    <col min="7" max="7" width="12.81640625" style="203" customWidth="1"/>
    <col min="8" max="8" width="2.453125" style="205" customWidth="1"/>
    <col min="9" max="9" width="34.36328125" style="204" customWidth="1"/>
    <col min="10" max="10" width="11.54296875" style="203" customWidth="1"/>
    <col min="11" max="11" width="12.81640625" style="203" customWidth="1"/>
    <col min="12" max="12" width="8.90625" style="204"/>
    <col min="13" max="13" width="18.81640625" style="204" bestFit="1" customWidth="1"/>
    <col min="14" max="16384" width="8.90625" style="204"/>
  </cols>
  <sheetData>
    <row r="1" spans="1:28" s="221" customFormat="1" ht="19.75" customHeight="1" x14ac:dyDescent="0.35">
      <c r="A1" s="207" t="s">
        <v>130</v>
      </c>
      <c r="B1" s="222" t="s">
        <v>7</v>
      </c>
      <c r="C1" s="222" t="s">
        <v>37</v>
      </c>
      <c r="D1" s="223"/>
      <c r="E1" s="207" t="s">
        <v>131</v>
      </c>
      <c r="F1" s="222" t="s">
        <v>7</v>
      </c>
      <c r="G1" s="222" t="s">
        <v>37</v>
      </c>
      <c r="H1" s="224"/>
      <c r="I1" s="207" t="s">
        <v>179</v>
      </c>
      <c r="J1" s="222" t="s">
        <v>7</v>
      </c>
      <c r="K1" s="222" t="s">
        <v>37</v>
      </c>
      <c r="L1" s="351" t="s">
        <v>251</v>
      </c>
      <c r="M1" s="351"/>
      <c r="N1" s="351"/>
      <c r="AB1" s="199"/>
    </row>
    <row r="2" spans="1:28" s="219" customFormat="1" x14ac:dyDescent="0.35">
      <c r="A2" s="213"/>
      <c r="B2" s="214">
        <f>SUM(B4:B8)</f>
        <v>48500</v>
      </c>
      <c r="C2" s="215">
        <f>B2/'Resource Mgmt - High Perf Tools'!C36</f>
        <v>2108.695652173913</v>
      </c>
      <c r="D2" s="216"/>
      <c r="E2" s="213"/>
      <c r="F2" s="214">
        <f>SUM(F4:F8)</f>
        <v>17500</v>
      </c>
      <c r="G2" s="215">
        <f>F2/'Resource Mgmt - High Perf Tools'!C36</f>
        <v>760.86956521739125</v>
      </c>
      <c r="H2" s="217"/>
      <c r="I2" s="213"/>
      <c r="J2" s="209">
        <f>B2-F2</f>
        <v>31000</v>
      </c>
      <c r="K2" s="218">
        <f>C2-G2</f>
        <v>1347.8260869565217</v>
      </c>
      <c r="L2" s="351"/>
      <c r="M2" s="351"/>
      <c r="N2" s="351"/>
      <c r="AB2" s="199"/>
    </row>
    <row r="3" spans="1:28" s="199" customFormat="1" x14ac:dyDescent="0.35">
      <c r="B3" s="200"/>
      <c r="C3" s="220"/>
      <c r="F3" s="211"/>
      <c r="G3" s="220"/>
      <c r="H3" s="201"/>
      <c r="J3" s="211"/>
      <c r="K3" s="220"/>
    </row>
    <row r="4" spans="1:28" s="199" customFormat="1" x14ac:dyDescent="0.35">
      <c r="A4" s="225" t="s">
        <v>255</v>
      </c>
      <c r="B4" s="226">
        <v>15000</v>
      </c>
      <c r="C4" s="212">
        <f>B4/'High Performing Tools'!$C$41</f>
        <v>214.28571428571428</v>
      </c>
      <c r="E4" s="199" t="str">
        <f>A4</f>
        <v>Dolog1</v>
      </c>
      <c r="F4" s="226">
        <v>6000</v>
      </c>
      <c r="G4" s="212">
        <f>F4/'High Performing Tools'!$C$41</f>
        <v>85.714285714285708</v>
      </c>
      <c r="I4" s="199" t="str">
        <f>A4</f>
        <v>Dolog1</v>
      </c>
      <c r="J4" s="343">
        <f>B4-F4</f>
        <v>9000</v>
      </c>
      <c r="K4" s="212">
        <f>J4/'High Performing Tools'!$C$41</f>
        <v>128.57142857142858</v>
      </c>
    </row>
    <row r="5" spans="1:28" s="199" customFormat="1" x14ac:dyDescent="0.35">
      <c r="A5" s="225" t="s">
        <v>256</v>
      </c>
      <c r="B5" s="226">
        <v>8500</v>
      </c>
      <c r="C5" s="212">
        <f>B5/'High Performing Tools'!$C$41</f>
        <v>121.42857142857143</v>
      </c>
      <c r="E5" s="199" t="str">
        <f>A5</f>
        <v>Dolog2</v>
      </c>
      <c r="F5" s="226">
        <v>4500</v>
      </c>
      <c r="G5" s="212">
        <f>F5/'High Performing Tools'!$C$41</f>
        <v>64.285714285714292</v>
      </c>
      <c r="I5" s="199" t="str">
        <f>A5</f>
        <v>Dolog2</v>
      </c>
      <c r="J5" s="343">
        <f>B5-F5</f>
        <v>4000</v>
      </c>
      <c r="K5" s="212">
        <f>J5/'High Performing Tools'!$C$41</f>
        <v>57.142857142857146</v>
      </c>
    </row>
    <row r="6" spans="1:28" s="199" customFormat="1" x14ac:dyDescent="0.35">
      <c r="A6" s="225" t="s">
        <v>257</v>
      </c>
      <c r="B6" s="226">
        <v>25000</v>
      </c>
      <c r="C6" s="212">
        <f>B6/'High Performing Tools'!$C$41</f>
        <v>357.14285714285717</v>
      </c>
      <c r="E6" s="199" t="str">
        <f>A6</f>
        <v>Dolog3</v>
      </c>
      <c r="F6" s="226">
        <v>7000</v>
      </c>
      <c r="G6" s="212">
        <f>F6/'High Performing Tools'!$C$41</f>
        <v>100</v>
      </c>
      <c r="I6" s="199" t="str">
        <f>A6</f>
        <v>Dolog3</v>
      </c>
      <c r="J6" s="343">
        <f>B6-F6</f>
        <v>18000</v>
      </c>
      <c r="K6" s="212">
        <f>J6/'High Performing Tools'!$C$41</f>
        <v>257.14285714285717</v>
      </c>
    </row>
    <row r="7" spans="1:28" s="199" customFormat="1" x14ac:dyDescent="0.35">
      <c r="A7" s="225"/>
      <c r="B7" s="227"/>
      <c r="C7" s="212">
        <f>B7/'High Performing Tools'!$C$41</f>
        <v>0</v>
      </c>
      <c r="E7" s="199">
        <f>A7</f>
        <v>0</v>
      </c>
      <c r="F7" s="227"/>
      <c r="G7" s="212">
        <f>F7/'High Performing Tools'!$C$41</f>
        <v>0</v>
      </c>
      <c r="H7" s="201"/>
      <c r="I7" s="199">
        <f>A7</f>
        <v>0</v>
      </c>
      <c r="J7" s="343">
        <f t="shared" ref="J7:J8" si="0">B7-F7</f>
        <v>0</v>
      </c>
      <c r="K7" s="212">
        <f>J7/'High Performing Tools'!$C$41</f>
        <v>0</v>
      </c>
    </row>
    <row r="8" spans="1:28" s="199" customFormat="1" x14ac:dyDescent="0.35">
      <c r="A8" s="225"/>
      <c r="B8" s="227"/>
      <c r="C8" s="212">
        <f>B8/'High Performing Tools'!$C$41</f>
        <v>0</v>
      </c>
      <c r="E8" s="199">
        <f>A8</f>
        <v>0</v>
      </c>
      <c r="F8" s="227"/>
      <c r="G8" s="212">
        <f>F8/'High Performing Tools'!$C$41</f>
        <v>0</v>
      </c>
      <c r="H8" s="201"/>
      <c r="I8" s="199">
        <f>A8</f>
        <v>0</v>
      </c>
      <c r="J8" s="343">
        <f t="shared" si="0"/>
        <v>0</v>
      </c>
      <c r="K8" s="212">
        <f>J8/'High Performing Tools'!$C$41</f>
        <v>0</v>
      </c>
    </row>
    <row r="9" spans="1:28" x14ac:dyDescent="0.35">
      <c r="A9" s="207" t="s">
        <v>181</v>
      </c>
      <c r="B9" s="208">
        <f>(B2-F2)/B11</f>
        <v>2.0666666666666669</v>
      </c>
      <c r="C9" s="209">
        <f>J2-B11</f>
        <v>16000</v>
      </c>
    </row>
    <row r="10" spans="1:28" s="199" customFormat="1" ht="10.25" customHeight="1" x14ac:dyDescent="0.35">
      <c r="A10" s="210"/>
      <c r="B10" s="200"/>
      <c r="C10" s="200"/>
      <c r="F10" s="200"/>
      <c r="G10" s="200"/>
      <c r="H10" s="201"/>
      <c r="J10" s="200"/>
      <c r="K10" s="200"/>
    </row>
    <row r="11" spans="1:28" s="199" customFormat="1" x14ac:dyDescent="0.35">
      <c r="A11" s="199" t="s">
        <v>184</v>
      </c>
      <c r="B11" s="211">
        <f>SUM(B12:B13)</f>
        <v>15000</v>
      </c>
      <c r="C11" s="200"/>
      <c r="F11" s="200"/>
      <c r="G11" s="200"/>
      <c r="J11" s="200"/>
      <c r="K11" s="200"/>
    </row>
    <row r="12" spans="1:28" s="199" customFormat="1" x14ac:dyDescent="0.35">
      <c r="A12" s="206" t="s">
        <v>182</v>
      </c>
      <c r="B12" s="226">
        <v>0</v>
      </c>
      <c r="C12" s="200"/>
      <c r="F12" s="200"/>
      <c r="G12" s="200"/>
      <c r="J12" s="200"/>
      <c r="K12" s="200"/>
    </row>
    <row r="13" spans="1:28" s="199" customFormat="1" x14ac:dyDescent="0.35">
      <c r="A13" s="206" t="s">
        <v>183</v>
      </c>
      <c r="B13" s="226">
        <v>15000</v>
      </c>
      <c r="C13" s="200"/>
      <c r="F13" s="200"/>
      <c r="G13" s="200"/>
      <c r="J13" s="200"/>
      <c r="K13" s="200"/>
    </row>
    <row r="14" spans="1:28" s="199" customFormat="1" x14ac:dyDescent="0.35">
      <c r="B14" s="200"/>
      <c r="C14" s="200"/>
      <c r="F14" s="200"/>
      <c r="G14" s="200"/>
      <c r="H14" s="201"/>
      <c r="J14" s="200"/>
      <c r="K14" s="200"/>
    </row>
    <row r="15" spans="1:28" x14ac:dyDescent="0.35">
      <c r="A15" s="202"/>
    </row>
  </sheetData>
  <sheetProtection sheet="1" objects="1" scenarios="1" selectLockedCells="1"/>
  <mergeCells count="1">
    <mergeCell ref="L1:N2"/>
  </mergeCells>
  <pageMargins left="0.7" right="0.7" top="0.75" bottom="0.75" header="0.3" footer="0.3"/>
  <customProperties>
    <customPr name="_pios_id" r:id="rId1"/>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76D6-0415-47EA-8B59-43C76CD6524F}">
  <sheetPr codeName="Sheet5"/>
  <dimension ref="A1:AB59"/>
  <sheetViews>
    <sheetView showGridLines="0" tabSelected="1" zoomScale="90" zoomScaleNormal="90" workbookViewId="0">
      <pane ySplit="2" topLeftCell="A3" activePane="bottomLeft" state="frozen"/>
      <selection pane="bottomLeft" activeCell="AA1" sqref="AA1"/>
    </sheetView>
  </sheetViews>
  <sheetFormatPr defaultColWidth="8.90625" defaultRowHeight="15.5" x14ac:dyDescent="0.35"/>
  <cols>
    <col min="1" max="1" width="32.81640625" style="240" bestFit="1" customWidth="1"/>
    <col min="2" max="2" width="15.90625" style="241" customWidth="1"/>
    <col min="3" max="3" width="12.36328125" style="241" customWidth="1"/>
    <col min="4" max="4" width="29.54296875" style="240" bestFit="1" customWidth="1"/>
    <col min="5" max="5" width="25.453125" style="240" customWidth="1"/>
    <col min="6" max="6" width="15.36328125" style="241" customWidth="1"/>
    <col min="7" max="7" width="12.36328125" style="241" customWidth="1"/>
    <col min="8" max="8" width="4.36328125" style="240" customWidth="1"/>
    <col min="9" max="9" width="18.54296875" style="240" bestFit="1" customWidth="1"/>
    <col min="10" max="10" width="15.36328125" style="241" customWidth="1"/>
    <col min="11" max="11" width="12.36328125" style="241" customWidth="1"/>
    <col min="12" max="12" width="8.90625" style="240"/>
    <col min="13" max="13" width="11.453125" style="240" bestFit="1" customWidth="1"/>
    <col min="14" max="14" width="8.90625" style="240"/>
    <col min="15" max="15" width="11.453125" style="240" bestFit="1" customWidth="1"/>
    <col min="16" max="27" width="8.90625" style="240"/>
    <col min="28" max="28" width="8.90625" style="248"/>
    <col min="29" max="16384" width="8.90625" style="240"/>
  </cols>
  <sheetData>
    <row r="1" spans="1:28" s="232" customFormat="1" ht="22.25" customHeight="1" x14ac:dyDescent="0.25">
      <c r="A1" s="228" t="s">
        <v>130</v>
      </c>
      <c r="B1" s="229" t="s">
        <v>7</v>
      </c>
      <c r="C1" s="229" t="s">
        <v>37</v>
      </c>
      <c r="D1" s="230"/>
      <c r="E1" s="228" t="s">
        <v>131</v>
      </c>
      <c r="F1" s="229" t="s">
        <v>7</v>
      </c>
      <c r="G1" s="229" t="s">
        <v>37</v>
      </c>
      <c r="H1" s="231"/>
      <c r="I1" s="228" t="s">
        <v>179</v>
      </c>
      <c r="J1" s="229" t="s">
        <v>7</v>
      </c>
      <c r="K1" s="229" t="s">
        <v>37</v>
      </c>
      <c r="AA1" s="333" t="s">
        <v>262</v>
      </c>
      <c r="AB1" s="334">
        <v>1285.7142857142858</v>
      </c>
    </row>
    <row r="2" spans="1:28" s="239" customFormat="1" ht="17.399999999999999" customHeight="1" x14ac:dyDescent="0.35">
      <c r="A2" s="233"/>
      <c r="B2" s="234">
        <f>SUM(B5:B18)</f>
        <v>0</v>
      </c>
      <c r="C2" s="235">
        <f>B2/'High Performing Tools'!C41</f>
        <v>0</v>
      </c>
      <c r="D2" s="236"/>
      <c r="E2" s="233"/>
      <c r="F2" s="234">
        <f>SUM(F5:F18)</f>
        <v>0</v>
      </c>
      <c r="G2" s="235">
        <f>F2/'High Performing Tools'!C41</f>
        <v>0</v>
      </c>
      <c r="H2" s="237"/>
      <c r="I2" s="233"/>
      <c r="J2" s="238">
        <f>B2-F2</f>
        <v>0</v>
      </c>
      <c r="K2" s="235">
        <f>J2/'High Performing Tools'!C41</f>
        <v>0</v>
      </c>
      <c r="AA2" s="335" t="s">
        <v>263</v>
      </c>
      <c r="AB2" s="336">
        <v>0</v>
      </c>
    </row>
    <row r="3" spans="1:28" x14ac:dyDescent="0.35">
      <c r="C3" s="242"/>
      <c r="F3" s="243"/>
      <c r="G3" s="242"/>
      <c r="J3" s="243"/>
      <c r="K3" s="242"/>
      <c r="AA3" s="337" t="s">
        <v>261</v>
      </c>
      <c r="AB3" s="338">
        <v>2108.695652173913</v>
      </c>
    </row>
    <row r="4" spans="1:28" x14ac:dyDescent="0.35">
      <c r="A4" s="244" t="s">
        <v>207</v>
      </c>
      <c r="C4" s="242"/>
      <c r="D4" s="244" t="s">
        <v>242</v>
      </c>
      <c r="E4" s="244" t="s">
        <v>207</v>
      </c>
      <c r="F4" s="243"/>
      <c r="G4" s="242"/>
      <c r="J4" s="243"/>
      <c r="K4" s="242"/>
      <c r="AA4" s="337"/>
      <c r="AB4" s="338">
        <v>0</v>
      </c>
    </row>
    <row r="5" spans="1:28" x14ac:dyDescent="0.35">
      <c r="A5" s="240" t="s">
        <v>204</v>
      </c>
      <c r="B5" s="245">
        <v>0</v>
      </c>
      <c r="C5" s="246">
        <f>B5/'High Performing Tools'!$C$41</f>
        <v>0</v>
      </c>
      <c r="D5" s="247" t="s">
        <v>220</v>
      </c>
      <c r="E5" s="240" t="str">
        <f>A5</f>
        <v>Work Safety</v>
      </c>
      <c r="F5" s="245">
        <v>0</v>
      </c>
      <c r="G5" s="246">
        <f>F5/'High Performing Tools'!$C$41</f>
        <v>0</v>
      </c>
      <c r="I5" s="240" t="str">
        <f>A5</f>
        <v>Work Safety</v>
      </c>
      <c r="J5" s="245">
        <f>B5-F5</f>
        <v>0</v>
      </c>
      <c r="K5" s="246">
        <f>J5/'High Performing Tools'!$C$41</f>
        <v>0</v>
      </c>
      <c r="AA5" s="337"/>
      <c r="AB5" s="338">
        <v>5217.391304347826</v>
      </c>
    </row>
    <row r="6" spans="1:28" x14ac:dyDescent="0.35">
      <c r="A6" s="240" t="s">
        <v>210</v>
      </c>
      <c r="B6" s="245">
        <v>0</v>
      </c>
      <c r="C6" s="246">
        <f>B6/'High Performing Tools'!$C$41</f>
        <v>0</v>
      </c>
      <c r="D6" s="247" t="s">
        <v>221</v>
      </c>
      <c r="E6" s="240" t="str">
        <f t="shared" ref="E6:E16" si="0">A6</f>
        <v>Quantity Items</v>
      </c>
      <c r="F6" s="245">
        <v>0</v>
      </c>
      <c r="G6" s="246">
        <f>F6/'High Performing Tools'!$C$41</f>
        <v>0</v>
      </c>
      <c r="I6" s="240" t="str">
        <f t="shared" ref="I6:I18" si="1">A6</f>
        <v>Quantity Items</v>
      </c>
      <c r="J6" s="245">
        <f>B6-F6</f>
        <v>0</v>
      </c>
      <c r="K6" s="246">
        <f>J6/'High Performing Tools'!$C$41</f>
        <v>0</v>
      </c>
      <c r="AA6" s="337"/>
      <c r="AB6" s="339"/>
    </row>
    <row r="7" spans="1:28" x14ac:dyDescent="0.35">
      <c r="A7" s="240" t="s">
        <v>211</v>
      </c>
      <c r="B7" s="245">
        <v>0</v>
      </c>
      <c r="C7" s="246">
        <f>B7/'High Performing Tools'!$C$41</f>
        <v>0</v>
      </c>
      <c r="D7" s="247" t="s">
        <v>222</v>
      </c>
      <c r="E7" s="240" t="str">
        <f t="shared" si="0"/>
        <v>Jobsite Costing</v>
      </c>
      <c r="F7" s="245">
        <v>0</v>
      </c>
      <c r="G7" s="246">
        <f>F7/'High Performing Tools'!$C$41</f>
        <v>0</v>
      </c>
      <c r="I7" s="240" t="str">
        <f t="shared" si="1"/>
        <v>Jobsite Costing</v>
      </c>
      <c r="J7" s="245">
        <f t="shared" ref="J7:J18" si="2">B7-F7</f>
        <v>0</v>
      </c>
      <c r="K7" s="246">
        <f>J7/'High Performing Tools'!$C$41</f>
        <v>0</v>
      </c>
    </row>
    <row r="8" spans="1:28" x14ac:dyDescent="0.35">
      <c r="A8" s="240" t="s">
        <v>212</v>
      </c>
      <c r="B8" s="245"/>
      <c r="C8" s="246">
        <f>B8/'High Performing Tools'!$C$41</f>
        <v>0</v>
      </c>
      <c r="D8" s="247"/>
      <c r="E8" s="240" t="str">
        <f t="shared" si="0"/>
        <v>xxx</v>
      </c>
      <c r="F8" s="245"/>
      <c r="G8" s="246">
        <f>F8/'High Performing Tools'!$C$41</f>
        <v>0</v>
      </c>
      <c r="I8" s="240" t="str">
        <f t="shared" si="1"/>
        <v>xxx</v>
      </c>
      <c r="J8" s="245">
        <f t="shared" si="2"/>
        <v>0</v>
      </c>
      <c r="K8" s="246">
        <f>J8/'High Performing Tools'!$C$41</f>
        <v>0</v>
      </c>
    </row>
    <row r="9" spans="1:28" x14ac:dyDescent="0.35">
      <c r="A9" s="240" t="s">
        <v>212</v>
      </c>
      <c r="B9" s="245"/>
      <c r="C9" s="246">
        <f>B9/'High Performing Tools'!$C$41</f>
        <v>0</v>
      </c>
      <c r="D9" s="247"/>
      <c r="E9" s="240" t="str">
        <f t="shared" si="0"/>
        <v>xxx</v>
      </c>
      <c r="F9" s="245"/>
      <c r="G9" s="246">
        <f>F9/'High Performing Tools'!$C$41</f>
        <v>0</v>
      </c>
      <c r="I9" s="240" t="str">
        <f t="shared" si="1"/>
        <v>xxx</v>
      </c>
      <c r="J9" s="245">
        <f t="shared" si="2"/>
        <v>0</v>
      </c>
      <c r="K9" s="246">
        <f>J9/'High Performing Tools'!$C$41</f>
        <v>0</v>
      </c>
    </row>
    <row r="10" spans="1:28" x14ac:dyDescent="0.35">
      <c r="A10" s="244" t="s">
        <v>208</v>
      </c>
      <c r="B10" s="245"/>
      <c r="C10" s="246"/>
      <c r="D10" s="247"/>
      <c r="E10" s="244" t="str">
        <f t="shared" si="0"/>
        <v>Indirect Cost</v>
      </c>
      <c r="F10" s="245"/>
      <c r="G10" s="246">
        <f>F10/'High Performing Tools'!$C$41</f>
        <v>0</v>
      </c>
      <c r="I10" s="244" t="str">
        <f t="shared" si="1"/>
        <v>Indirect Cost</v>
      </c>
      <c r="J10" s="245"/>
      <c r="K10" s="246">
        <f>J10/'High Performing Tools'!$C$41</f>
        <v>0</v>
      </c>
    </row>
    <row r="11" spans="1:28" x14ac:dyDescent="0.35">
      <c r="A11" s="240" t="s">
        <v>204</v>
      </c>
      <c r="B11" s="245">
        <v>0</v>
      </c>
      <c r="C11" s="246">
        <f>B11/'High Performing Tools'!$C$41</f>
        <v>0</v>
      </c>
      <c r="D11" s="247" t="s">
        <v>220</v>
      </c>
      <c r="E11" s="240" t="str">
        <f t="shared" si="0"/>
        <v>Work Safety</v>
      </c>
      <c r="F11" s="245">
        <v>0</v>
      </c>
      <c r="G11" s="246">
        <f>F11/'High Performing Tools'!$C$41</f>
        <v>0</v>
      </c>
      <c r="I11" s="240" t="str">
        <f t="shared" si="1"/>
        <v>Work Safety</v>
      </c>
      <c r="J11" s="245">
        <f>B11-F11</f>
        <v>0</v>
      </c>
      <c r="K11" s="246">
        <f>J11/'High Performing Tools'!$C$41</f>
        <v>0</v>
      </c>
    </row>
    <row r="12" spans="1:28" x14ac:dyDescent="0.35">
      <c r="A12" s="240" t="s">
        <v>216</v>
      </c>
      <c r="B12" s="245">
        <v>0</v>
      </c>
      <c r="C12" s="246">
        <f>B12/'High Performing Tools'!$C$41</f>
        <v>0</v>
      </c>
      <c r="D12" s="247" t="s">
        <v>221</v>
      </c>
      <c r="E12" s="240" t="str">
        <f t="shared" si="0"/>
        <v>Quantity items</v>
      </c>
      <c r="F12" s="245">
        <v>0</v>
      </c>
      <c r="G12" s="246">
        <f>F12/'High Performing Tools'!$C$41</f>
        <v>0</v>
      </c>
      <c r="I12" s="240" t="str">
        <f t="shared" si="1"/>
        <v>Quantity items</v>
      </c>
      <c r="J12" s="245">
        <f t="shared" si="2"/>
        <v>0</v>
      </c>
      <c r="K12" s="246">
        <f>J12/'High Performing Tools'!$C$41</f>
        <v>0</v>
      </c>
    </row>
    <row r="13" spans="1:28" x14ac:dyDescent="0.35">
      <c r="A13" s="240" t="s">
        <v>217</v>
      </c>
      <c r="B13" s="245">
        <v>0</v>
      </c>
      <c r="C13" s="346">
        <f>B13/'High Performing Tools'!$C$41</f>
        <v>0</v>
      </c>
      <c r="D13" s="247" t="s">
        <v>194</v>
      </c>
      <c r="E13" s="240" t="str">
        <f t="shared" si="0"/>
        <v>Asset Transparency</v>
      </c>
      <c r="F13" s="245">
        <v>0</v>
      </c>
      <c r="G13" s="246">
        <f>F13/'High Performing Tools'!$C$41</f>
        <v>0</v>
      </c>
      <c r="I13" s="240" t="str">
        <f t="shared" si="1"/>
        <v>Asset Transparency</v>
      </c>
      <c r="J13" s="245">
        <f t="shared" si="2"/>
        <v>0</v>
      </c>
      <c r="K13" s="246">
        <f>J13/'High Performing Tools'!$C$41</f>
        <v>0</v>
      </c>
      <c r="M13" s="249"/>
      <c r="N13" s="250"/>
      <c r="O13" s="249"/>
      <c r="P13" s="251"/>
      <c r="Q13" s="252"/>
      <c r="R13" s="249"/>
      <c r="S13" s="251"/>
      <c r="T13" s="253"/>
    </row>
    <row r="14" spans="1:28" x14ac:dyDescent="0.35">
      <c r="A14" s="240" t="s">
        <v>211</v>
      </c>
      <c r="B14" s="245">
        <v>0</v>
      </c>
      <c r="C14" s="246">
        <f>B14/'High Performing Tools'!$C$41</f>
        <v>0</v>
      </c>
      <c r="D14" s="247" t="s">
        <v>222</v>
      </c>
      <c r="E14" s="240" t="str">
        <f t="shared" si="0"/>
        <v>Jobsite Costing</v>
      </c>
      <c r="F14" s="245">
        <v>0</v>
      </c>
      <c r="G14" s="246">
        <f>F14/'High Performing Tools'!$C$41</f>
        <v>0</v>
      </c>
      <c r="I14" s="240" t="str">
        <f t="shared" si="1"/>
        <v>Jobsite Costing</v>
      </c>
      <c r="J14" s="245">
        <f t="shared" si="2"/>
        <v>0</v>
      </c>
      <c r="K14" s="246">
        <f>J14/'High Performing Tools'!$C$41</f>
        <v>0</v>
      </c>
      <c r="M14" s="249"/>
      <c r="N14" s="250"/>
      <c r="O14" s="249"/>
      <c r="P14" s="251"/>
      <c r="Q14" s="252"/>
      <c r="R14" s="249"/>
      <c r="S14" s="251"/>
      <c r="T14" s="253"/>
    </row>
    <row r="15" spans="1:28" x14ac:dyDescent="0.35">
      <c r="A15" s="240" t="s">
        <v>218</v>
      </c>
      <c r="B15" s="245">
        <v>0</v>
      </c>
      <c r="C15" s="246">
        <f>B15/'High Performing Tools'!$C$41</f>
        <v>0</v>
      </c>
      <c r="D15" s="247" t="s">
        <v>222</v>
      </c>
      <c r="E15" s="240" t="str">
        <f t="shared" si="0"/>
        <v>Data consistency management across systems</v>
      </c>
      <c r="F15" s="245">
        <v>0</v>
      </c>
      <c r="G15" s="246">
        <f>F15/'High Performing Tools'!$C$41</f>
        <v>0</v>
      </c>
      <c r="I15" s="240" t="str">
        <f t="shared" si="1"/>
        <v>Data consistency management across systems</v>
      </c>
      <c r="J15" s="245">
        <f t="shared" si="2"/>
        <v>0</v>
      </c>
      <c r="K15" s="246">
        <f>J15/'High Performing Tools'!$C$41</f>
        <v>0</v>
      </c>
    </row>
    <row r="16" spans="1:28" x14ac:dyDescent="0.35">
      <c r="A16" s="240" t="s">
        <v>219</v>
      </c>
      <c r="B16" s="245">
        <v>0</v>
      </c>
      <c r="C16" s="246">
        <f>B16/'High Performing Tools'!$C$41</f>
        <v>0</v>
      </c>
      <c r="D16" s="247" t="s">
        <v>222</v>
      </c>
      <c r="E16" s="240" t="str">
        <f t="shared" si="0"/>
        <v>Report creation</v>
      </c>
      <c r="F16" s="245">
        <v>0</v>
      </c>
      <c r="G16" s="246">
        <f>F16/'High Performing Tools'!$C$41</f>
        <v>0</v>
      </c>
      <c r="I16" s="240" t="str">
        <f t="shared" si="1"/>
        <v>Report creation</v>
      </c>
      <c r="J16" s="245">
        <f t="shared" si="2"/>
        <v>0</v>
      </c>
      <c r="K16" s="246">
        <f>J16/'High Performing Tools'!$C$41</f>
        <v>0</v>
      </c>
    </row>
    <row r="17" spans="1:11" x14ac:dyDescent="0.35">
      <c r="A17" s="347">
        <v>0</v>
      </c>
      <c r="B17" s="348">
        <v>0</v>
      </c>
      <c r="C17" s="254">
        <f>B17/'High Performing Tools'!$C$41</f>
        <v>0</v>
      </c>
      <c r="D17" s="247" t="s">
        <v>222</v>
      </c>
      <c r="E17" s="240">
        <v>0</v>
      </c>
      <c r="F17" s="349">
        <v>0</v>
      </c>
      <c r="G17" s="246">
        <f>F17/'High Performing Tools'!$C$41</f>
        <v>0</v>
      </c>
      <c r="I17" s="240">
        <f t="shared" si="1"/>
        <v>0</v>
      </c>
      <c r="J17" s="245">
        <f t="shared" si="2"/>
        <v>0</v>
      </c>
      <c r="K17" s="246">
        <f>J17/'High Performing Tools'!$C$41</f>
        <v>0</v>
      </c>
    </row>
    <row r="18" spans="1:11" x14ac:dyDescent="0.35">
      <c r="A18" s="347">
        <v>0</v>
      </c>
      <c r="B18" s="348">
        <v>0</v>
      </c>
      <c r="C18" s="254">
        <f>B18/'High Performing Tools'!$C$41</f>
        <v>0</v>
      </c>
      <c r="D18" s="247" t="s">
        <v>222</v>
      </c>
      <c r="E18" s="240">
        <v>0</v>
      </c>
      <c r="F18" s="349">
        <v>0</v>
      </c>
      <c r="G18" s="246">
        <f>F18/'High Performing Tools'!$C$41</f>
        <v>0</v>
      </c>
      <c r="I18" s="240">
        <f t="shared" si="1"/>
        <v>0</v>
      </c>
      <c r="J18" s="245">
        <f t="shared" si="2"/>
        <v>0</v>
      </c>
      <c r="K18" s="246">
        <f>J18/'High Performing Tools'!$C$41</f>
        <v>0</v>
      </c>
    </row>
    <row r="19" spans="1:11" x14ac:dyDescent="0.35">
      <c r="A19" s="207" t="s">
        <v>181</v>
      </c>
      <c r="B19" s="208">
        <f>(B2-F2)/B21</f>
        <v>0</v>
      </c>
      <c r="C19" s="209">
        <f>J2-B21</f>
        <v>-20213</v>
      </c>
    </row>
    <row r="20" spans="1:11" x14ac:dyDescent="0.35">
      <c r="A20" s="255"/>
      <c r="C20" s="243">
        <f>J2-B22</f>
        <v>-13193</v>
      </c>
    </row>
    <row r="21" spans="1:11" x14ac:dyDescent="0.35">
      <c r="A21" s="240" t="s">
        <v>184</v>
      </c>
      <c r="B21" s="243">
        <f>SUM(B22:B23)</f>
        <v>20213</v>
      </c>
    </row>
    <row r="22" spans="1:11" x14ac:dyDescent="0.35">
      <c r="A22" s="256" t="s">
        <v>182</v>
      </c>
      <c r="B22" s="245">
        <v>13193</v>
      </c>
      <c r="C22" s="257" t="s">
        <v>223</v>
      </c>
      <c r="D22" s="258" t="s">
        <v>225</v>
      </c>
    </row>
    <row r="23" spans="1:11" x14ac:dyDescent="0.35">
      <c r="A23" s="256" t="s">
        <v>183</v>
      </c>
      <c r="B23" s="245">
        <v>7020</v>
      </c>
      <c r="C23" s="257" t="s">
        <v>226</v>
      </c>
    </row>
    <row r="25" spans="1:11" x14ac:dyDescent="0.35">
      <c r="A25" s="207" t="s">
        <v>194</v>
      </c>
      <c r="B25" s="208"/>
      <c r="C25" s="209"/>
      <c r="D25" s="259"/>
      <c r="G25" s="260"/>
    </row>
    <row r="27" spans="1:11" x14ac:dyDescent="0.35">
      <c r="A27" s="240" t="s">
        <v>185</v>
      </c>
      <c r="B27" s="261">
        <f>B13-F13-B22</f>
        <v>-13193</v>
      </c>
      <c r="C27" s="262" t="s">
        <v>232</v>
      </c>
      <c r="G27" s="263"/>
      <c r="K27" s="264"/>
    </row>
    <row r="28" spans="1:11" x14ac:dyDescent="0.35">
      <c r="A28" s="240" t="s">
        <v>229</v>
      </c>
      <c r="B28" s="245">
        <v>5000</v>
      </c>
      <c r="C28" s="262" t="s">
        <v>230</v>
      </c>
      <c r="G28" s="265"/>
      <c r="K28" s="264"/>
    </row>
    <row r="29" spans="1:11" x14ac:dyDescent="0.35">
      <c r="A29" s="240" t="s">
        <v>228</v>
      </c>
      <c r="B29" s="246">
        <v>47.04</v>
      </c>
      <c r="C29" s="262" t="s">
        <v>231</v>
      </c>
      <c r="G29" s="242"/>
    </row>
    <row r="31" spans="1:11" x14ac:dyDescent="0.35">
      <c r="A31" s="207" t="s">
        <v>196</v>
      </c>
      <c r="B31" s="208"/>
      <c r="C31" s="209"/>
    </row>
    <row r="32" spans="1:11" x14ac:dyDescent="0.35">
      <c r="B32" s="260"/>
      <c r="F32" s="266"/>
      <c r="G32" s="266"/>
      <c r="H32" s="267"/>
      <c r="I32" s="268"/>
    </row>
    <row r="33" spans="1:9" ht="13.25" customHeight="1" x14ac:dyDescent="0.35">
      <c r="A33" s="240" t="s">
        <v>185</v>
      </c>
      <c r="B33" s="245">
        <f>SUM('Jobsite Management'!C9+C19+'High Performing Tools'!C20+'VDC Prefab'!C9+'Work package Solutions'!C9)</f>
        <v>78990</v>
      </c>
      <c r="C33" s="269" t="s">
        <v>203</v>
      </c>
      <c r="F33" s="266"/>
      <c r="G33" s="266"/>
      <c r="H33" s="267"/>
      <c r="I33" s="268"/>
    </row>
    <row r="34" spans="1:9" x14ac:dyDescent="0.35">
      <c r="A34" s="240" t="s">
        <v>199</v>
      </c>
      <c r="B34" s="245">
        <v>0</v>
      </c>
      <c r="C34" s="262" t="s">
        <v>233</v>
      </c>
      <c r="F34" s="266"/>
      <c r="G34" s="266"/>
      <c r="H34" s="270"/>
      <c r="I34" s="266"/>
    </row>
    <row r="35" spans="1:9" x14ac:dyDescent="0.35">
      <c r="A35" s="240" t="s">
        <v>200</v>
      </c>
      <c r="B35" s="261">
        <f>'High Performing Tools'!K2</f>
        <v>-67000</v>
      </c>
      <c r="C35" s="269" t="s">
        <v>234</v>
      </c>
      <c r="F35" s="271"/>
      <c r="G35" s="271"/>
      <c r="H35" s="272"/>
      <c r="I35" s="271"/>
    </row>
    <row r="36" spans="1:9" x14ac:dyDescent="0.35">
      <c r="B36" s="264">
        <v>0</v>
      </c>
      <c r="F36" s="273"/>
      <c r="G36" s="274"/>
      <c r="H36" s="275"/>
      <c r="I36" s="275"/>
    </row>
    <row r="37" spans="1:9" x14ac:dyDescent="0.35">
      <c r="A37" s="276" t="s">
        <v>235</v>
      </c>
      <c r="F37" s="273"/>
      <c r="G37" s="274"/>
      <c r="H37" s="275"/>
      <c r="I37" s="275"/>
    </row>
    <row r="38" spans="1:9" x14ac:dyDescent="0.35">
      <c r="A38" s="207" t="s">
        <v>243</v>
      </c>
      <c r="B38" s="277"/>
      <c r="F38" s="278"/>
      <c r="G38" s="274"/>
      <c r="H38" s="279"/>
      <c r="I38" s="279"/>
    </row>
    <row r="39" spans="1:9" x14ac:dyDescent="0.35">
      <c r="A39" s="244" t="s">
        <v>207</v>
      </c>
      <c r="B39" s="244" t="s">
        <v>242</v>
      </c>
      <c r="F39" s="273"/>
      <c r="G39" s="271"/>
      <c r="H39" s="280"/>
      <c r="I39" s="280"/>
    </row>
    <row r="40" spans="1:9" x14ac:dyDescent="0.35">
      <c r="A40" s="240" t="s">
        <v>204</v>
      </c>
      <c r="B40" s="281" t="s">
        <v>220</v>
      </c>
      <c r="F40" s="278"/>
      <c r="G40" s="271"/>
      <c r="H40" s="280"/>
      <c r="I40" s="280"/>
    </row>
    <row r="41" spans="1:9" x14ac:dyDescent="0.35">
      <c r="A41" s="240" t="s">
        <v>210</v>
      </c>
      <c r="B41" s="281" t="s">
        <v>221</v>
      </c>
      <c r="C41" s="241" t="s">
        <v>123</v>
      </c>
      <c r="F41" s="352"/>
      <c r="G41" s="352"/>
      <c r="H41" s="352"/>
      <c r="I41" s="282"/>
    </row>
    <row r="42" spans="1:9" x14ac:dyDescent="0.35">
      <c r="A42" s="240" t="s">
        <v>211</v>
      </c>
      <c r="B42" s="281" t="s">
        <v>222</v>
      </c>
      <c r="F42" s="283"/>
      <c r="G42" s="284"/>
      <c r="H42" s="285"/>
      <c r="I42" s="286"/>
    </row>
    <row r="43" spans="1:9" x14ac:dyDescent="0.35">
      <c r="A43" s="240" t="s">
        <v>212</v>
      </c>
      <c r="B43" s="281"/>
      <c r="F43" s="353"/>
      <c r="G43" s="353"/>
      <c r="H43" s="353"/>
      <c r="I43" s="287"/>
    </row>
    <row r="44" spans="1:9" x14ac:dyDescent="0.35">
      <c r="A44" s="240" t="s">
        <v>212</v>
      </c>
      <c r="B44" s="281"/>
      <c r="F44" s="274"/>
      <c r="G44" s="274"/>
      <c r="H44" s="288"/>
      <c r="I44" s="289"/>
    </row>
    <row r="45" spans="1:9" x14ac:dyDescent="0.35">
      <c r="A45" s="244" t="s">
        <v>208</v>
      </c>
      <c r="B45" s="244" t="s">
        <v>242</v>
      </c>
      <c r="F45" s="352"/>
      <c r="G45" s="352"/>
      <c r="H45" s="352"/>
      <c r="I45" s="282"/>
    </row>
    <row r="46" spans="1:9" x14ac:dyDescent="0.35">
      <c r="A46" s="240" t="s">
        <v>204</v>
      </c>
      <c r="B46" s="281" t="s">
        <v>220</v>
      </c>
      <c r="F46" s="273"/>
      <c r="G46" s="284"/>
      <c r="H46" s="279"/>
      <c r="I46" s="290"/>
    </row>
    <row r="47" spans="1:9" x14ac:dyDescent="0.35">
      <c r="A47" s="240" t="s">
        <v>216</v>
      </c>
      <c r="B47" s="281" t="s">
        <v>221</v>
      </c>
      <c r="F47" s="291"/>
      <c r="G47" s="291"/>
      <c r="H47" s="292"/>
      <c r="I47" s="292"/>
    </row>
    <row r="48" spans="1:9" x14ac:dyDescent="0.35">
      <c r="A48" s="240" t="s">
        <v>217</v>
      </c>
      <c r="B48" s="281" t="s">
        <v>194</v>
      </c>
      <c r="F48" s="266"/>
      <c r="G48" s="284"/>
      <c r="H48" s="293"/>
      <c r="I48" s="294"/>
    </row>
    <row r="49" spans="1:2" x14ac:dyDescent="0.35">
      <c r="A49" s="240" t="s">
        <v>211</v>
      </c>
      <c r="B49" s="281" t="s">
        <v>222</v>
      </c>
    </row>
    <row r="50" spans="1:2" x14ac:dyDescent="0.35">
      <c r="A50" s="240" t="s">
        <v>218</v>
      </c>
      <c r="B50" s="281" t="s">
        <v>222</v>
      </c>
    </row>
    <row r="51" spans="1:2" x14ac:dyDescent="0.35">
      <c r="A51" s="240" t="s">
        <v>219</v>
      </c>
      <c r="B51" s="281" t="s">
        <v>222</v>
      </c>
    </row>
    <row r="52" spans="1:2" x14ac:dyDescent="0.35">
      <c r="A52" s="240" t="s">
        <v>212</v>
      </c>
      <c r="B52" s="281" t="s">
        <v>222</v>
      </c>
    </row>
    <row r="53" spans="1:2" x14ac:dyDescent="0.35">
      <c r="A53" s="240" t="s">
        <v>212</v>
      </c>
      <c r="B53" s="281" t="s">
        <v>222</v>
      </c>
    </row>
    <row r="55" spans="1:2" x14ac:dyDescent="0.35">
      <c r="A55" s="247" t="s">
        <v>236</v>
      </c>
      <c r="B55" s="295">
        <f>SUM('Jobsite Management'!B2+B2+'High Performing Tools'!B2+'VDC Prefab'!B2+'Work package Solutions'!B2)</f>
        <v>258500</v>
      </c>
    </row>
    <row r="56" spans="1:2" x14ac:dyDescent="0.35">
      <c r="A56" s="247" t="s">
        <v>237</v>
      </c>
      <c r="B56" s="295">
        <f>SUM('Jobsite Management'!F2+'High Performing Tools'!G2+'VDC Prefab'!F2+'Work package Solutions'!F2+F2)</f>
        <v>105500</v>
      </c>
    </row>
    <row r="57" spans="1:2" x14ac:dyDescent="0.35">
      <c r="A57" s="247" t="s">
        <v>238</v>
      </c>
      <c r="B57" s="296">
        <f>SUM('Jobsite Management'!C2+C2+'High Performing Tools'!C2+'VDC Prefab'!C2+'Work package Solutions'!C2)</f>
        <v>8611.8012422360243</v>
      </c>
    </row>
    <row r="58" spans="1:2" x14ac:dyDescent="0.35">
      <c r="A58" s="247" t="s">
        <v>239</v>
      </c>
      <c r="B58" s="253">
        <f>SUM('Jobsite Management'!G2+G2+'High Performing Tools'!H2+'VDC Prefab'!G2+'Work package Solutions'!G2)</f>
        <v>2309.9378881987577</v>
      </c>
    </row>
    <row r="59" spans="1:2" ht="16" thickBot="1" x14ac:dyDescent="0.4">
      <c r="A59" s="297" t="s">
        <v>241</v>
      </c>
      <c r="B59" s="298">
        <f>SUM('Jobsite Management'!C9+C19+'High Performing Tools'!C20+'VDC Prefab'!C9+'Work package Solutions'!C9)</f>
        <v>78990</v>
      </c>
    </row>
  </sheetData>
  <sheetProtection sheet="1" objects="1" scenarios="1" selectLockedCells="1"/>
  <mergeCells count="3">
    <mergeCell ref="F41:H41"/>
    <mergeCell ref="F43:H43"/>
    <mergeCell ref="F45:H45"/>
  </mergeCells>
  <pageMargins left="0.7" right="0.7" top="0.75" bottom="0.75" header="0.3" footer="0.3"/>
  <customProperties>
    <customPr name="_pios_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EE4F5-3D2C-4064-A14B-1D99BA76257D}">
  <sheetPr codeName="Sheet6"/>
  <dimension ref="A1:O51"/>
  <sheetViews>
    <sheetView showGridLines="0" zoomScale="90" zoomScaleNormal="90" workbookViewId="0">
      <pane ySplit="2" topLeftCell="A3" activePane="bottomLeft" state="frozen"/>
      <selection pane="bottomLeft" activeCell="C40" sqref="C40"/>
    </sheetView>
  </sheetViews>
  <sheetFormatPr defaultColWidth="8.90625" defaultRowHeight="13" x14ac:dyDescent="0.3"/>
  <cols>
    <col min="1" max="1" width="51.6328125" style="300" customWidth="1"/>
    <col min="2" max="2" width="17.81640625" style="301" customWidth="1"/>
    <col min="3" max="3" width="13.36328125" style="301" customWidth="1"/>
    <col min="4" max="4" width="27.08984375" style="307" customWidth="1"/>
    <col min="5" max="5" width="2.81640625" style="307" customWidth="1"/>
    <col min="6" max="6" width="24.81640625" style="300" bestFit="1" customWidth="1"/>
    <col min="7" max="7" width="13.1796875" style="301" bestFit="1" customWidth="1"/>
    <col min="8" max="8" width="14.54296875" style="301" customWidth="1"/>
    <col min="9" max="9" width="2.1796875" style="300" customWidth="1"/>
    <col min="10" max="10" width="24.08984375" style="300" bestFit="1" customWidth="1"/>
    <col min="11" max="11" width="13.1796875" style="301" bestFit="1" customWidth="1"/>
    <col min="12" max="12" width="10" style="301" bestFit="1" customWidth="1"/>
    <col min="13" max="13" width="8.90625" style="300"/>
    <col min="14" max="14" width="17.36328125" style="300" bestFit="1" customWidth="1"/>
    <col min="15" max="16384" width="8.90625" style="300"/>
  </cols>
  <sheetData>
    <row r="1" spans="1:15" s="232" customFormat="1" ht="22.25" customHeight="1" x14ac:dyDescent="0.25">
      <c r="A1" s="228" t="s">
        <v>130</v>
      </c>
      <c r="B1" s="229" t="s">
        <v>7</v>
      </c>
      <c r="C1" s="229" t="s">
        <v>37</v>
      </c>
      <c r="D1" s="230"/>
      <c r="E1" s="323"/>
      <c r="F1" s="228" t="s">
        <v>131</v>
      </c>
      <c r="G1" s="229" t="s">
        <v>7</v>
      </c>
      <c r="H1" s="229" t="s">
        <v>37</v>
      </c>
      <c r="I1" s="324"/>
      <c r="J1" s="228" t="s">
        <v>179</v>
      </c>
      <c r="K1" s="229" t="s">
        <v>7</v>
      </c>
      <c r="L1" s="229" t="s">
        <v>37</v>
      </c>
      <c r="M1" s="351" t="s">
        <v>251</v>
      </c>
      <c r="N1" s="351"/>
      <c r="O1" s="351"/>
    </row>
    <row r="2" spans="1:15" s="247" customFormat="1" ht="15.5" x14ac:dyDescent="0.35">
      <c r="A2" s="312"/>
      <c r="B2" s="234">
        <f>SUM(B5:B19)</f>
        <v>0</v>
      </c>
      <c r="C2" s="235">
        <f>B2/C41</f>
        <v>0</v>
      </c>
      <c r="D2" s="313"/>
      <c r="E2" s="314"/>
      <c r="F2" s="312"/>
      <c r="G2" s="234">
        <f>SUM(G4:G19)</f>
        <v>67000</v>
      </c>
      <c r="H2" s="235">
        <f>G2/C41</f>
        <v>957.14285714285711</v>
      </c>
      <c r="I2" s="304"/>
      <c r="J2" s="312"/>
      <c r="K2" s="315">
        <f>B2-G2</f>
        <v>-67000</v>
      </c>
      <c r="L2" s="235">
        <f>K2/C41</f>
        <v>-957.14285714285711</v>
      </c>
      <c r="M2" s="351"/>
      <c r="N2" s="351"/>
      <c r="O2" s="351"/>
    </row>
    <row r="3" spans="1:15" x14ac:dyDescent="0.3">
      <c r="C3" s="316"/>
      <c r="G3" s="317"/>
      <c r="H3" s="316"/>
      <c r="K3" s="317"/>
      <c r="L3" s="316"/>
    </row>
    <row r="4" spans="1:15" s="240" customFormat="1" ht="15.5" x14ac:dyDescent="0.35">
      <c r="A4" s="244" t="s">
        <v>207</v>
      </c>
      <c r="B4" s="245"/>
      <c r="C4" s="246"/>
      <c r="D4" s="244" t="s">
        <v>242</v>
      </c>
      <c r="E4" s="244"/>
      <c r="F4" s="244" t="s">
        <v>207</v>
      </c>
      <c r="G4" s="245"/>
      <c r="H4" s="246"/>
      <c r="J4" s="244" t="s">
        <v>207</v>
      </c>
      <c r="K4" s="245"/>
      <c r="L4" s="246"/>
    </row>
    <row r="5" spans="1:15" s="240" customFormat="1" ht="15.5" x14ac:dyDescent="0.35">
      <c r="A5" s="240" t="s">
        <v>213</v>
      </c>
      <c r="B5" s="245">
        <v>0</v>
      </c>
      <c r="C5" s="246">
        <f>B5/$C$41</f>
        <v>0</v>
      </c>
      <c r="D5" s="247" t="s">
        <v>224</v>
      </c>
      <c r="E5" s="247"/>
      <c r="F5" s="350">
        <v>0</v>
      </c>
      <c r="G5" s="245">
        <v>20000</v>
      </c>
      <c r="H5" s="246">
        <f>G5/$C$41</f>
        <v>285.71428571428572</v>
      </c>
      <c r="J5" s="240" t="s">
        <v>213</v>
      </c>
      <c r="K5" s="245" t="s">
        <v>250</v>
      </c>
      <c r="L5" s="246">
        <v>20000</v>
      </c>
    </row>
    <row r="6" spans="1:15" s="240" customFormat="1" ht="15.5" x14ac:dyDescent="0.35">
      <c r="A6" s="240" t="s">
        <v>205</v>
      </c>
      <c r="B6" s="245">
        <v>0</v>
      </c>
      <c r="C6" s="246">
        <f>B6/$C$41</f>
        <v>0</v>
      </c>
      <c r="D6" s="247" t="s">
        <v>205</v>
      </c>
      <c r="E6" s="247"/>
      <c r="F6" s="350">
        <v>0</v>
      </c>
      <c r="G6" s="245">
        <v>7000</v>
      </c>
      <c r="H6" s="246">
        <f>G6/$C$41</f>
        <v>100</v>
      </c>
      <c r="J6" s="240" t="s">
        <v>205</v>
      </c>
      <c r="K6" s="245">
        <f>B6-G6</f>
        <v>-7000</v>
      </c>
      <c r="L6" s="246">
        <v>7000</v>
      </c>
    </row>
    <row r="7" spans="1:15" s="240" customFormat="1" ht="15.5" x14ac:dyDescent="0.35">
      <c r="A7" s="240" t="s">
        <v>206</v>
      </c>
      <c r="B7" s="245">
        <v>0</v>
      </c>
      <c r="C7" s="246">
        <f>B7/$C$41</f>
        <v>0</v>
      </c>
      <c r="D7" s="247" t="s">
        <v>206</v>
      </c>
      <c r="E7" s="247"/>
      <c r="F7" s="350">
        <v>0</v>
      </c>
      <c r="G7" s="245">
        <v>5000</v>
      </c>
      <c r="H7" s="246">
        <f>G7/$C$41</f>
        <v>71.428571428571431</v>
      </c>
      <c r="J7" s="240" t="s">
        <v>206</v>
      </c>
      <c r="K7" s="245">
        <f>B7-G7</f>
        <v>-5000</v>
      </c>
      <c r="L7" s="246">
        <v>1000</v>
      </c>
    </row>
    <row r="8" spans="1:15" s="240" customFormat="1" ht="15.5" x14ac:dyDescent="0.35">
      <c r="A8" s="240" t="s">
        <v>209</v>
      </c>
      <c r="B8" s="245">
        <v>0</v>
      </c>
      <c r="C8" s="246">
        <f>B8/$C$41</f>
        <v>0</v>
      </c>
      <c r="D8" s="247" t="s">
        <v>224</v>
      </c>
      <c r="E8" s="247"/>
      <c r="F8" s="350">
        <v>0</v>
      </c>
      <c r="G8" s="245">
        <v>1000</v>
      </c>
      <c r="H8" s="246">
        <f>G8/$C$41</f>
        <v>14.285714285714286</v>
      </c>
      <c r="J8" s="240" t="s">
        <v>209</v>
      </c>
      <c r="K8" s="245">
        <f>B8-G8</f>
        <v>-1000</v>
      </c>
      <c r="L8" s="246">
        <v>1000</v>
      </c>
    </row>
    <row r="9" spans="1:15" s="240" customFormat="1" ht="15.5" x14ac:dyDescent="0.35">
      <c r="B9" s="241"/>
      <c r="C9" s="242"/>
      <c r="D9" s="247"/>
      <c r="E9" s="247"/>
      <c r="G9" s="241"/>
      <c r="H9" s="242"/>
      <c r="K9" s="241"/>
      <c r="L9" s="242"/>
    </row>
    <row r="10" spans="1:15" s="240" customFormat="1" ht="15.5" x14ac:dyDescent="0.35">
      <c r="B10" s="245"/>
      <c r="C10" s="246">
        <f t="shared" ref="C10:C19" si="0">B10/$C$41</f>
        <v>0</v>
      </c>
      <c r="D10" s="247"/>
      <c r="E10" s="247"/>
      <c r="G10" s="245"/>
      <c r="H10" s="246"/>
      <c r="K10" s="245"/>
      <c r="L10" s="246">
        <f>B2-G2</f>
        <v>-67000</v>
      </c>
    </row>
    <row r="11" spans="1:15" s="240" customFormat="1" ht="15.5" x14ac:dyDescent="0.35">
      <c r="B11" s="241"/>
      <c r="C11" s="246">
        <f t="shared" si="0"/>
        <v>0</v>
      </c>
      <c r="D11" s="247"/>
      <c r="E11" s="247"/>
      <c r="G11" s="245"/>
      <c r="H11" s="246"/>
      <c r="K11" s="245"/>
      <c r="L11" s="246"/>
    </row>
    <row r="12" spans="1:15" s="240" customFormat="1" ht="14.4" customHeight="1" x14ac:dyDescent="0.35">
      <c r="A12" s="244" t="s">
        <v>208</v>
      </c>
      <c r="B12" s="245"/>
      <c r="C12" s="246"/>
      <c r="D12" s="247"/>
      <c r="E12" s="247"/>
      <c r="F12" s="244" t="s">
        <v>208</v>
      </c>
      <c r="G12" s="245"/>
      <c r="H12" s="246"/>
      <c r="J12" s="244" t="s">
        <v>208</v>
      </c>
      <c r="K12" s="245"/>
      <c r="L12" s="246"/>
    </row>
    <row r="13" spans="1:15" s="240" customFormat="1" ht="14.4" customHeight="1" x14ac:dyDescent="0.35">
      <c r="A13" s="240" t="s">
        <v>213</v>
      </c>
      <c r="B13" s="245">
        <v>0</v>
      </c>
      <c r="C13" s="246">
        <f t="shared" si="0"/>
        <v>0</v>
      </c>
      <c r="D13" s="247" t="s">
        <v>224</v>
      </c>
      <c r="E13" s="247"/>
      <c r="F13" s="350">
        <v>0</v>
      </c>
      <c r="G13" s="245">
        <v>1000</v>
      </c>
      <c r="H13" s="246">
        <f t="shared" ref="H13:H17" si="1">G13/$C$41</f>
        <v>14.285714285714286</v>
      </c>
      <c r="J13" s="240" t="s">
        <v>213</v>
      </c>
      <c r="K13" s="245">
        <f t="shared" ref="K13:K16" si="2">B13-G13</f>
        <v>-1000</v>
      </c>
      <c r="L13" s="246">
        <v>1000</v>
      </c>
    </row>
    <row r="14" spans="1:15" s="240" customFormat="1" ht="14.4" customHeight="1" x14ac:dyDescent="0.35">
      <c r="A14" s="240" t="s">
        <v>205</v>
      </c>
      <c r="B14" s="245">
        <v>0</v>
      </c>
      <c r="C14" s="246">
        <f t="shared" si="0"/>
        <v>0</v>
      </c>
      <c r="D14" s="247" t="s">
        <v>205</v>
      </c>
      <c r="E14" s="247"/>
      <c r="F14" s="350">
        <v>0</v>
      </c>
      <c r="G14" s="245">
        <v>1000</v>
      </c>
      <c r="H14" s="246">
        <f t="shared" si="1"/>
        <v>14.285714285714286</v>
      </c>
      <c r="J14" s="240" t="s">
        <v>205</v>
      </c>
      <c r="K14" s="245">
        <f t="shared" si="2"/>
        <v>-1000</v>
      </c>
      <c r="L14" s="246">
        <v>1000</v>
      </c>
    </row>
    <row r="15" spans="1:15" s="240" customFormat="1" ht="14.4" customHeight="1" x14ac:dyDescent="0.35">
      <c r="A15" s="240" t="s">
        <v>206</v>
      </c>
      <c r="B15" s="245">
        <v>0</v>
      </c>
      <c r="C15" s="246">
        <f t="shared" si="0"/>
        <v>0</v>
      </c>
      <c r="D15" s="247" t="s">
        <v>206</v>
      </c>
      <c r="E15" s="247"/>
      <c r="F15" s="350">
        <v>0</v>
      </c>
      <c r="G15" s="245">
        <v>1000</v>
      </c>
      <c r="H15" s="246">
        <f t="shared" si="1"/>
        <v>14.285714285714286</v>
      </c>
      <c r="J15" s="240" t="s">
        <v>206</v>
      </c>
      <c r="K15" s="245">
        <f t="shared" si="2"/>
        <v>-1000</v>
      </c>
      <c r="L15" s="246">
        <v>1000</v>
      </c>
    </row>
    <row r="16" spans="1:15" s="240" customFormat="1" ht="14.4" customHeight="1" x14ac:dyDescent="0.35">
      <c r="A16" s="240" t="s">
        <v>214</v>
      </c>
      <c r="B16" s="245">
        <v>0</v>
      </c>
      <c r="C16" s="246">
        <f t="shared" si="0"/>
        <v>0</v>
      </c>
      <c r="D16" s="247" t="s">
        <v>224</v>
      </c>
      <c r="E16" s="247"/>
      <c r="F16" s="350">
        <v>0</v>
      </c>
      <c r="G16" s="245">
        <v>1000</v>
      </c>
      <c r="H16" s="246">
        <f t="shared" si="1"/>
        <v>14.285714285714286</v>
      </c>
      <c r="J16" s="240" t="s">
        <v>214</v>
      </c>
      <c r="K16" s="245">
        <f t="shared" si="2"/>
        <v>-1000</v>
      </c>
      <c r="L16" s="246">
        <v>1000</v>
      </c>
    </row>
    <row r="17" spans="1:12" s="240" customFormat="1" ht="15.5" x14ac:dyDescent="0.35">
      <c r="A17" s="240" t="s">
        <v>215</v>
      </c>
      <c r="B17" s="245">
        <v>0</v>
      </c>
      <c r="C17" s="246">
        <f t="shared" si="0"/>
        <v>0</v>
      </c>
      <c r="D17" s="247" t="s">
        <v>215</v>
      </c>
      <c r="E17" s="247"/>
      <c r="F17" s="350">
        <v>0</v>
      </c>
      <c r="G17" s="245">
        <v>30000</v>
      </c>
      <c r="H17" s="246">
        <f t="shared" si="1"/>
        <v>428.57142857142856</v>
      </c>
      <c r="J17" s="240" t="s">
        <v>215</v>
      </c>
      <c r="K17" s="245">
        <f>D49</f>
        <v>756000</v>
      </c>
      <c r="L17" s="246">
        <v>30000</v>
      </c>
    </row>
    <row r="18" spans="1:12" s="240" customFormat="1" ht="15.5" x14ac:dyDescent="0.35">
      <c r="A18" s="240" t="s">
        <v>212</v>
      </c>
      <c r="B18" s="245"/>
      <c r="C18" s="254">
        <f t="shared" si="0"/>
        <v>0</v>
      </c>
      <c r="D18" s="247"/>
      <c r="E18" s="247"/>
      <c r="F18" s="240" t="s">
        <v>212</v>
      </c>
      <c r="G18" s="241"/>
      <c r="H18" s="254">
        <f t="shared" ref="H18:H19" si="3">G18/$C$41</f>
        <v>0</v>
      </c>
      <c r="J18" s="240" t="s">
        <v>212</v>
      </c>
      <c r="K18" s="241"/>
      <c r="L18" s="246">
        <f t="shared" ref="L18:L19" si="4">K18/$C$41</f>
        <v>0</v>
      </c>
    </row>
    <row r="19" spans="1:12" s="240" customFormat="1" ht="15.5" x14ac:dyDescent="0.35">
      <c r="A19" s="240" t="s">
        <v>212</v>
      </c>
      <c r="B19" s="241"/>
      <c r="C19" s="254">
        <f t="shared" si="0"/>
        <v>0</v>
      </c>
      <c r="D19" s="247"/>
      <c r="E19" s="247"/>
      <c r="F19" s="240" t="s">
        <v>212</v>
      </c>
      <c r="G19" s="241"/>
      <c r="H19" s="254">
        <f t="shared" si="3"/>
        <v>0</v>
      </c>
      <c r="J19" s="240" t="s">
        <v>212</v>
      </c>
      <c r="K19" s="241"/>
      <c r="L19" s="246">
        <f t="shared" si="4"/>
        <v>0</v>
      </c>
    </row>
    <row r="20" spans="1:12" ht="15.5" x14ac:dyDescent="0.35">
      <c r="A20" s="228" t="s">
        <v>181</v>
      </c>
      <c r="B20" s="318">
        <f>(B2-G2)/B22</f>
        <v>-9.5441595441595446</v>
      </c>
      <c r="C20" s="315">
        <f>K2-B22</f>
        <v>-74020</v>
      </c>
    </row>
    <row r="21" spans="1:12" s="240" customFormat="1" ht="15.5" x14ac:dyDescent="0.35">
      <c r="A21" s="255"/>
      <c r="B21" s="241"/>
      <c r="C21" s="241"/>
      <c r="D21" s="247"/>
      <c r="E21" s="247"/>
      <c r="G21" s="241"/>
      <c r="H21" s="241"/>
      <c r="K21" s="241"/>
      <c r="L21" s="241"/>
    </row>
    <row r="22" spans="1:12" s="240" customFormat="1" ht="15.5" x14ac:dyDescent="0.35">
      <c r="A22" s="240" t="s">
        <v>184</v>
      </c>
      <c r="B22" s="243">
        <f>SUM(B23:B24)</f>
        <v>7020</v>
      </c>
      <c r="C22" s="243">
        <f>B22*4</f>
        <v>28080</v>
      </c>
      <c r="D22" s="258" t="s">
        <v>240</v>
      </c>
      <c r="E22" s="258"/>
      <c r="G22" s="241"/>
      <c r="H22" s="241"/>
      <c r="K22" s="241"/>
      <c r="L22" s="241"/>
    </row>
    <row r="23" spans="1:12" s="240" customFormat="1" ht="15.5" x14ac:dyDescent="0.35">
      <c r="A23" s="256" t="s">
        <v>182</v>
      </c>
      <c r="B23" s="319"/>
      <c r="C23" s="241"/>
      <c r="D23" s="247"/>
      <c r="E23" s="247"/>
      <c r="G23" s="241"/>
      <c r="H23" s="241"/>
      <c r="K23" s="241"/>
      <c r="L23" s="241"/>
    </row>
    <row r="24" spans="1:12" s="240" customFormat="1" ht="15.5" x14ac:dyDescent="0.35">
      <c r="A24" s="256" t="s">
        <v>183</v>
      </c>
      <c r="B24" s="245">
        <v>7020</v>
      </c>
      <c r="C24" s="262" t="s">
        <v>227</v>
      </c>
      <c r="D24" s="247"/>
      <c r="E24" s="247"/>
      <c r="G24" s="241"/>
      <c r="H24" s="241"/>
      <c r="K24" s="241"/>
      <c r="L24" s="241"/>
    </row>
    <row r="25" spans="1:12" s="240" customFormat="1" ht="15.5" x14ac:dyDescent="0.35">
      <c r="B25" s="241"/>
      <c r="C25" s="241"/>
      <c r="D25" s="247"/>
      <c r="E25" s="247"/>
      <c r="G25" s="241"/>
      <c r="H25" s="241"/>
      <c r="K25" s="241"/>
      <c r="L25" s="241"/>
    </row>
    <row r="27" spans="1:12" ht="15.5" x14ac:dyDescent="0.3">
      <c r="A27" s="228" t="s">
        <v>195</v>
      </c>
      <c r="B27" s="320"/>
      <c r="C27" s="320"/>
    </row>
    <row r="28" spans="1:12" s="240" customFormat="1" ht="15.5" x14ac:dyDescent="0.35">
      <c r="B28" s="241"/>
      <c r="C28" s="241"/>
      <c r="D28" s="247"/>
      <c r="E28" s="247"/>
      <c r="G28" s="241"/>
      <c r="H28" s="241"/>
      <c r="K28" s="241"/>
      <c r="L28" s="241"/>
    </row>
    <row r="29" spans="1:12" s="240" customFormat="1" ht="15.5" x14ac:dyDescent="0.35">
      <c r="A29" s="240" t="s">
        <v>185</v>
      </c>
      <c r="B29" s="344">
        <f>D49</f>
        <v>756000</v>
      </c>
      <c r="C29" s="281" t="s">
        <v>201</v>
      </c>
      <c r="D29" s="247"/>
      <c r="E29" s="247"/>
      <c r="G29" s="241"/>
      <c r="H29" s="241"/>
      <c r="K29" s="241"/>
      <c r="L29" s="241"/>
    </row>
    <row r="30" spans="1:12" s="240" customFormat="1" ht="15.5" x14ac:dyDescent="0.35">
      <c r="A30" s="240" t="s">
        <v>198</v>
      </c>
      <c r="B30" s="265">
        <f>D47</f>
        <v>0.3</v>
      </c>
      <c r="C30" s="281" t="s">
        <v>202</v>
      </c>
      <c r="D30" s="247"/>
      <c r="E30" s="247"/>
      <c r="G30" s="241"/>
      <c r="H30" s="241"/>
      <c r="K30" s="241"/>
      <c r="L30" s="241"/>
    </row>
    <row r="31" spans="1:12" s="240" customFormat="1" ht="15.5" x14ac:dyDescent="0.35">
      <c r="A31" s="240" t="s">
        <v>197</v>
      </c>
      <c r="B31" s="242">
        <f>D51</f>
        <v>10800</v>
      </c>
      <c r="C31" s="281" t="s">
        <v>201</v>
      </c>
      <c r="D31" s="247"/>
      <c r="E31" s="247"/>
      <c r="G31" s="241"/>
      <c r="H31" s="241"/>
      <c r="K31" s="241"/>
      <c r="L31" s="241"/>
    </row>
    <row r="33" spans="1:7" x14ac:dyDescent="0.3">
      <c r="B33" s="317"/>
    </row>
    <row r="36" spans="1:7" ht="15.5" x14ac:dyDescent="0.3">
      <c r="A36" s="355" t="s">
        <v>249</v>
      </c>
      <c r="B36" s="355"/>
      <c r="C36" s="356" t="s">
        <v>141</v>
      </c>
      <c r="D36" s="357" t="s">
        <v>248</v>
      </c>
      <c r="E36" s="266"/>
      <c r="F36" s="354"/>
    </row>
    <row r="37" spans="1:7" ht="15.5" x14ac:dyDescent="0.3">
      <c r="A37" s="355"/>
      <c r="B37" s="355"/>
      <c r="C37" s="356"/>
      <c r="D37" s="357"/>
      <c r="E37" s="266"/>
      <c r="F37" s="354"/>
      <c r="G37" s="322"/>
    </row>
    <row r="38" spans="1:7" ht="15.5" x14ac:dyDescent="0.3">
      <c r="A38" s="355"/>
      <c r="B38" s="355"/>
      <c r="C38" s="321"/>
      <c r="D38" s="321"/>
      <c r="E38" s="266"/>
      <c r="F38" s="354"/>
    </row>
    <row r="39" spans="1:7" x14ac:dyDescent="0.3">
      <c r="B39" s="322"/>
    </row>
    <row r="40" spans="1:7" ht="31" x14ac:dyDescent="0.3">
      <c r="A40" s="310" t="s">
        <v>113</v>
      </c>
      <c r="B40" s="274" t="s">
        <v>37</v>
      </c>
      <c r="C40" s="197">
        <v>2</v>
      </c>
      <c r="D40" s="197">
        <v>2</v>
      </c>
      <c r="E40" s="275"/>
    </row>
    <row r="41" spans="1:7" ht="31" x14ac:dyDescent="0.3">
      <c r="A41" s="310" t="s">
        <v>244</v>
      </c>
      <c r="B41" s="274" t="s">
        <v>7</v>
      </c>
      <c r="C41" s="328">
        <v>70</v>
      </c>
      <c r="D41" s="279">
        <f>C41</f>
        <v>70</v>
      </c>
      <c r="E41" s="279"/>
      <c r="F41" s="311"/>
    </row>
    <row r="42" spans="1:7" ht="15.5" x14ac:dyDescent="0.3">
      <c r="A42" s="310" t="s">
        <v>31</v>
      </c>
      <c r="B42" s="271" t="s">
        <v>9</v>
      </c>
      <c r="C42" s="329">
        <v>100</v>
      </c>
      <c r="D42" s="329">
        <v>100</v>
      </c>
      <c r="E42" s="280"/>
    </row>
    <row r="43" spans="1:7" ht="31" x14ac:dyDescent="0.3">
      <c r="A43" s="310" t="s">
        <v>33</v>
      </c>
      <c r="B43" s="271" t="s">
        <v>84</v>
      </c>
      <c r="C43" s="329">
        <v>180</v>
      </c>
      <c r="D43" s="329">
        <v>180</v>
      </c>
      <c r="E43" s="280"/>
    </row>
    <row r="44" spans="1:7" ht="15.5" x14ac:dyDescent="0.3">
      <c r="A44" s="352"/>
      <c r="B44" s="352"/>
      <c r="C44" s="352"/>
      <c r="D44" s="299"/>
      <c r="E44" s="299"/>
    </row>
    <row r="45" spans="1:7" ht="46.5" x14ac:dyDescent="0.3">
      <c r="A45" s="302" t="s">
        <v>245</v>
      </c>
      <c r="B45" s="271" t="s">
        <v>49</v>
      </c>
      <c r="C45" s="285">
        <f>C40*C41*C42*C43</f>
        <v>2520000</v>
      </c>
      <c r="D45" s="285">
        <f>(1-D47)*C45</f>
        <v>1764000</v>
      </c>
      <c r="E45" s="285"/>
    </row>
    <row r="46" spans="1:7" ht="15.5" x14ac:dyDescent="0.3">
      <c r="A46" s="353"/>
      <c r="B46" s="353"/>
      <c r="C46" s="353"/>
      <c r="D46" s="287"/>
      <c r="E46" s="287"/>
    </row>
    <row r="47" spans="1:7" ht="15.5" x14ac:dyDescent="0.3">
      <c r="A47" s="309" t="s">
        <v>115</v>
      </c>
      <c r="B47" s="274" t="s">
        <v>21</v>
      </c>
      <c r="C47" s="288"/>
      <c r="D47" s="198">
        <v>0.3</v>
      </c>
      <c r="E47" s="308"/>
    </row>
    <row r="48" spans="1:7" ht="15.5" x14ac:dyDescent="0.3">
      <c r="A48" s="352"/>
      <c r="B48" s="352"/>
      <c r="C48" s="352"/>
      <c r="D48" s="299"/>
      <c r="E48" s="299"/>
    </row>
    <row r="49" spans="1:5" ht="31" x14ac:dyDescent="0.3">
      <c r="A49" s="302" t="s">
        <v>246</v>
      </c>
      <c r="B49" s="271" t="s">
        <v>117</v>
      </c>
      <c r="C49" s="279"/>
      <c r="D49" s="303">
        <f>C45-D45</f>
        <v>756000</v>
      </c>
      <c r="E49" s="303"/>
    </row>
    <row r="50" spans="1:5" ht="15.5" x14ac:dyDescent="0.3">
      <c r="A50" s="292"/>
      <c r="B50" s="291"/>
      <c r="C50" s="291"/>
      <c r="D50" s="304"/>
      <c r="E50" s="304"/>
    </row>
    <row r="51" spans="1:5" ht="31" x14ac:dyDescent="0.3">
      <c r="A51" s="302" t="s">
        <v>247</v>
      </c>
      <c r="B51" s="271" t="s">
        <v>119</v>
      </c>
      <c r="C51" s="305">
        <f>C45/C41</f>
        <v>36000</v>
      </c>
      <c r="D51" s="306">
        <f>D49/D41</f>
        <v>10800</v>
      </c>
      <c r="E51" s="306"/>
    </row>
  </sheetData>
  <sheetProtection sheet="1" objects="1" scenarios="1" selectLockedCells="1"/>
  <mergeCells count="8">
    <mergeCell ref="M1:O2"/>
    <mergeCell ref="F36:F38"/>
    <mergeCell ref="A48:C48"/>
    <mergeCell ref="A36:B38"/>
    <mergeCell ref="C36:C37"/>
    <mergeCell ref="D36:D37"/>
    <mergeCell ref="A44:C44"/>
    <mergeCell ref="A46:C46"/>
  </mergeCells>
  <pageMargins left="0.7" right="0.7" top="0.75" bottom="0.75" header="0.3" footer="0.3"/>
  <customProperties>
    <customPr name="_pios_id" r:id="rId1"/>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1E103-35EF-4A1C-AA74-673611081781}">
  <sheetPr codeName="Sheet1">
    <pageSetUpPr fitToPage="1"/>
  </sheetPr>
  <dimension ref="A1:Y193"/>
  <sheetViews>
    <sheetView showGridLines="0" zoomScale="83" zoomScaleNormal="83" workbookViewId="0">
      <pane ySplit="7" topLeftCell="A128" activePane="bottomLeft" state="frozen"/>
      <selection pane="bottomLeft" activeCell="I20" sqref="I20"/>
    </sheetView>
  </sheetViews>
  <sheetFormatPr defaultColWidth="9.08984375" defaultRowHeight="14.5" x14ac:dyDescent="0.25"/>
  <cols>
    <col min="1" max="1" width="111" style="6" customWidth="1"/>
    <col min="2" max="2" width="16.81640625" style="6" customWidth="1"/>
    <col min="3" max="4" width="16" style="6" customWidth="1"/>
    <col min="5" max="5" width="15.36328125" style="85" customWidth="1"/>
    <col min="6" max="6" width="3.36328125" style="85" customWidth="1"/>
    <col min="7" max="7" width="114.453125" style="6" customWidth="1"/>
    <col min="8" max="9" width="16" style="6" customWidth="1"/>
    <col min="10" max="10" width="13.54296875" style="6" bestFit="1" customWidth="1"/>
    <col min="11" max="11" width="8.6328125" style="6" customWidth="1"/>
    <col min="12" max="12" width="9.08984375" style="6" customWidth="1"/>
    <col min="13" max="13" width="18.08984375" style="6" bestFit="1" customWidth="1"/>
    <col min="14" max="14" width="10.453125" style="6" bestFit="1" customWidth="1"/>
    <col min="15" max="15" width="3.453125" style="6" customWidth="1"/>
    <col min="16" max="16" width="14.1796875" style="6" bestFit="1" customWidth="1"/>
    <col min="17" max="16384" width="9.08984375" style="6"/>
  </cols>
  <sheetData>
    <row r="1" spans="1:25" s="1" customFormat="1" ht="11.4" customHeight="1" x14ac:dyDescent="0.25">
      <c r="A1" t="s">
        <v>123</v>
      </c>
      <c r="B1" t="s">
        <v>124</v>
      </c>
      <c r="C1" s="56" t="s">
        <v>125</v>
      </c>
      <c r="D1"/>
      <c r="E1" s="79"/>
      <c r="F1" s="79"/>
      <c r="G1"/>
      <c r="H1"/>
      <c r="I1"/>
      <c r="J1" s="2"/>
      <c r="K1" s="3"/>
      <c r="L1" s="3"/>
      <c r="M1" s="4"/>
    </row>
    <row r="2" spans="1:25" s="1" customFormat="1" ht="11.4" customHeight="1" x14ac:dyDescent="0.25">
      <c r="A2" s="52" t="s">
        <v>126</v>
      </c>
      <c r="B2" s="64">
        <v>0</v>
      </c>
      <c r="C2" s="56">
        <v>100000</v>
      </c>
      <c r="D2"/>
      <c r="E2" s="79"/>
      <c r="F2" s="79"/>
      <c r="G2"/>
      <c r="H2"/>
      <c r="I2"/>
      <c r="J2" s="2"/>
      <c r="K2" s="3"/>
      <c r="L2" s="3"/>
      <c r="M2" s="4"/>
    </row>
    <row r="3" spans="1:25" s="1" customFormat="1" ht="11.4" customHeight="1" x14ac:dyDescent="0.25">
      <c r="A3" s="52" t="s">
        <v>127</v>
      </c>
      <c r="B3" s="55">
        <f>B9</f>
        <v>877400</v>
      </c>
      <c r="C3" s="56">
        <v>60000</v>
      </c>
      <c r="D3"/>
      <c r="E3" s="79"/>
      <c r="F3" s="79"/>
      <c r="G3"/>
      <c r="H3"/>
      <c r="I3"/>
      <c r="J3" s="2"/>
      <c r="K3" s="3"/>
      <c r="L3" s="3"/>
      <c r="M3" s="4"/>
    </row>
    <row r="4" spans="1:25" s="1" customFormat="1" ht="11.4" customHeight="1" x14ac:dyDescent="0.25">
      <c r="A4" s="52" t="s">
        <v>128</v>
      </c>
      <c r="B4" s="55">
        <f>B8</f>
        <v>719648</v>
      </c>
      <c r="C4" s="56">
        <v>60000</v>
      </c>
      <c r="D4"/>
      <c r="E4" s="79"/>
      <c r="F4" s="79"/>
      <c r="G4"/>
      <c r="H4"/>
      <c r="I4"/>
      <c r="J4" s="2"/>
      <c r="K4" s="3"/>
      <c r="L4" s="3"/>
      <c r="M4" s="4"/>
    </row>
    <row r="5" spans="1:25" ht="11.4" customHeight="1" x14ac:dyDescent="0.25">
      <c r="A5" s="52" t="s">
        <v>129</v>
      </c>
      <c r="B5" s="55">
        <f>B13</f>
        <v>1807048</v>
      </c>
      <c r="C5" s="56">
        <v>20000</v>
      </c>
      <c r="D5"/>
      <c r="E5" s="79"/>
      <c r="F5" s="79"/>
      <c r="G5"/>
      <c r="H5"/>
      <c r="I5"/>
    </row>
    <row r="6" spans="1:25" s="9" customFormat="1" ht="3.75" customHeight="1" x14ac:dyDescent="0.35">
      <c r="A6" s="7"/>
      <c r="B6" s="7"/>
      <c r="C6" s="7"/>
      <c r="D6" s="7"/>
      <c r="E6" s="80"/>
      <c r="F6" s="80"/>
      <c r="G6" s="8"/>
      <c r="H6" s="8"/>
      <c r="I6" s="8"/>
      <c r="K6" s="7"/>
      <c r="L6" s="7"/>
      <c r="M6" s="7"/>
      <c r="N6" s="8"/>
      <c r="O6" s="8"/>
      <c r="P6" s="8"/>
      <c r="Q6" s="8"/>
      <c r="S6" s="7"/>
      <c r="T6" s="7"/>
      <c r="U6" s="7"/>
      <c r="V6" s="8"/>
      <c r="W6" s="8"/>
      <c r="X6" s="8"/>
      <c r="Y6" s="8"/>
    </row>
    <row r="7" spans="1:25" ht="36.65" customHeight="1" x14ac:dyDescent="0.45">
      <c r="A7" s="135" t="s">
        <v>130</v>
      </c>
      <c r="B7" s="151" t="s">
        <v>7</v>
      </c>
      <c r="C7" s="152" t="s">
        <v>37</v>
      </c>
      <c r="D7" s="137"/>
      <c r="E7" s="81"/>
      <c r="F7" s="81"/>
      <c r="G7" s="135" t="s">
        <v>131</v>
      </c>
      <c r="H7" s="152" t="s">
        <v>7</v>
      </c>
      <c r="I7" s="152" t="s">
        <v>37</v>
      </c>
      <c r="L7" s="135" t="s">
        <v>179</v>
      </c>
      <c r="M7" s="152" t="s">
        <v>7</v>
      </c>
      <c r="N7" s="152" t="s">
        <v>37</v>
      </c>
      <c r="P7" s="135" t="s">
        <v>185</v>
      </c>
    </row>
    <row r="8" spans="1:25" s="9" customFormat="1" ht="18.5" x14ac:dyDescent="0.45">
      <c r="A8" s="127" t="s">
        <v>139</v>
      </c>
      <c r="B8" s="143">
        <f>C80+C118+I49+I55+I68+I76+I98+I107+I119+I131+C129+C135</f>
        <v>719648</v>
      </c>
      <c r="C8" s="180">
        <f>B8/$C$36</f>
        <v>31289.043478260868</v>
      </c>
      <c r="D8" s="139"/>
      <c r="E8" s="82"/>
      <c r="F8" s="82"/>
      <c r="G8" s="154" t="s">
        <v>139</v>
      </c>
      <c r="H8" s="143">
        <v>39608</v>
      </c>
      <c r="I8" s="183">
        <f>H8/$C$36</f>
        <v>1722.0869565217392</v>
      </c>
      <c r="K8" s="7"/>
      <c r="L8" s="7"/>
      <c r="M8" s="171">
        <f>B8-H8</f>
        <v>680040</v>
      </c>
      <c r="N8" s="189">
        <f>C8-I8</f>
        <v>29566.956521739128</v>
      </c>
      <c r="O8" s="8"/>
      <c r="P8" s="168">
        <f>C157</f>
        <v>629940</v>
      </c>
      <c r="Q8" s="8"/>
      <c r="S8" s="7"/>
      <c r="T8" s="7"/>
      <c r="U8" s="7"/>
      <c r="V8" s="8"/>
      <c r="W8" s="8"/>
      <c r="X8" s="8"/>
      <c r="Y8" s="8"/>
    </row>
    <row r="9" spans="1:25" ht="15.75" customHeight="1" x14ac:dyDescent="0.45">
      <c r="A9" s="128" t="s">
        <v>140</v>
      </c>
      <c r="B9" s="144">
        <f>C99+C105+C111+C149+I34</f>
        <v>877400</v>
      </c>
      <c r="C9" s="181">
        <f t="shared" ref="C9:C13" si="0">B9/$C$36</f>
        <v>38147.82608695652</v>
      </c>
      <c r="D9" s="140"/>
      <c r="E9" s="82"/>
      <c r="F9" s="82"/>
      <c r="G9" s="153" t="s">
        <v>140</v>
      </c>
      <c r="H9" s="144">
        <f>D99+D105+D111+D149+J34</f>
        <v>580400</v>
      </c>
      <c r="I9" s="184">
        <f t="shared" ref="I9" si="1">H9/$C$36</f>
        <v>25234.782608695652</v>
      </c>
      <c r="M9" s="171">
        <f t="shared" ref="M9:M13" si="2">B9-H9</f>
        <v>297000</v>
      </c>
      <c r="N9" s="189">
        <f t="shared" ref="N9:N13" si="3">C9-I9</f>
        <v>12913.043478260868</v>
      </c>
      <c r="P9" s="168">
        <f>C164</f>
        <v>256000</v>
      </c>
    </row>
    <row r="10" spans="1:25" ht="15.75" customHeight="1" x14ac:dyDescent="0.45">
      <c r="A10" s="133" t="s">
        <v>176</v>
      </c>
      <c r="B10" s="145">
        <f>'VDC Prefab'!B2</f>
        <v>120000</v>
      </c>
      <c r="C10" s="191">
        <f>'VDC Prefab'!C2</f>
        <v>5217.391304347826</v>
      </c>
      <c r="D10" s="150"/>
      <c r="E10" s="82"/>
      <c r="F10" s="82"/>
      <c r="G10" s="155" t="s">
        <v>176</v>
      </c>
      <c r="H10" s="145">
        <f>'VDC Prefab'!F2</f>
        <v>10000</v>
      </c>
      <c r="I10" s="185">
        <f>'VDC Prefab'!G2</f>
        <v>434.78260869565219</v>
      </c>
      <c r="J10" s="150"/>
      <c r="M10" s="171">
        <f t="shared" si="2"/>
        <v>110000</v>
      </c>
      <c r="N10" s="189">
        <f t="shared" si="3"/>
        <v>4782.608695652174</v>
      </c>
      <c r="P10" s="168">
        <f>'VDC Prefab'!C9</f>
        <v>101223</v>
      </c>
    </row>
    <row r="11" spans="1:25" ht="15.75" customHeight="1" x14ac:dyDescent="0.45">
      <c r="A11" s="134" t="s">
        <v>177</v>
      </c>
      <c r="B11" s="146">
        <f>'Work package Solutions'!B2</f>
        <v>90000</v>
      </c>
      <c r="C11" s="192">
        <f>'Work package Solutions'!C2</f>
        <v>1285.7142857142858</v>
      </c>
      <c r="D11" s="150"/>
      <c r="E11" s="82"/>
      <c r="F11" s="82"/>
      <c r="G11" s="156" t="s">
        <v>177</v>
      </c>
      <c r="H11" s="146">
        <f>'Work package Solutions'!F2</f>
        <v>11000</v>
      </c>
      <c r="I11" s="186">
        <f>'Work package Solutions'!G2</f>
        <v>157.14285714285717</v>
      </c>
      <c r="J11" s="150"/>
      <c r="M11" s="171">
        <f t="shared" si="2"/>
        <v>79000</v>
      </c>
      <c r="N11" s="189">
        <f t="shared" si="3"/>
        <v>1128.5714285714287</v>
      </c>
      <c r="P11" s="168">
        <f>'Work package Solutions'!C9</f>
        <v>56000</v>
      </c>
    </row>
    <row r="12" spans="1:25" ht="15.75" customHeight="1" x14ac:dyDescent="0.45">
      <c r="A12" s="136" t="s">
        <v>180</v>
      </c>
      <c r="B12" s="138">
        <f>'Jobsite Management'!B2</f>
        <v>48500</v>
      </c>
      <c r="C12" s="193">
        <f>'Jobsite Management'!C2</f>
        <v>2108.695652173913</v>
      </c>
      <c r="D12" s="150"/>
      <c r="E12" s="82"/>
      <c r="F12" s="82"/>
      <c r="G12" s="136" t="s">
        <v>180</v>
      </c>
      <c r="H12" s="138">
        <f>'Jobsite Management'!F2</f>
        <v>17500</v>
      </c>
      <c r="I12" s="187">
        <f>'Jobsite Management'!G2</f>
        <v>760.86956521739125</v>
      </c>
      <c r="J12" s="150"/>
      <c r="M12" s="171">
        <f t="shared" ref="M12" si="4">B12-H12</f>
        <v>31000</v>
      </c>
      <c r="N12" s="189">
        <f t="shared" ref="N12" si="5">C12-I12</f>
        <v>1347.8260869565217</v>
      </c>
      <c r="P12" s="168">
        <f>'Jobsite Management'!C9</f>
        <v>16000</v>
      </c>
    </row>
    <row r="13" spans="1:25" ht="21.5" x14ac:dyDescent="0.45">
      <c r="A13" s="58" t="s">
        <v>132</v>
      </c>
      <c r="B13" s="147">
        <f>SUM(B8:B11)</f>
        <v>1807048</v>
      </c>
      <c r="C13" s="182">
        <f t="shared" si="0"/>
        <v>78567.304347826081</v>
      </c>
      <c r="D13" s="139"/>
      <c r="E13" s="82"/>
      <c r="F13" s="82"/>
      <c r="G13" s="157" t="s">
        <v>178</v>
      </c>
      <c r="H13" s="147">
        <f>SUM(H8:H11)</f>
        <v>641008</v>
      </c>
      <c r="I13" s="188">
        <f>H13/$C$36</f>
        <v>27869.91304347826</v>
      </c>
      <c r="M13" s="178">
        <f t="shared" si="2"/>
        <v>1166040</v>
      </c>
      <c r="N13" s="190">
        <f t="shared" si="3"/>
        <v>50697.391304347824</v>
      </c>
      <c r="P13" s="169">
        <f>'Jobsite Management'!C9+'VDC Prefab'!C9+'Work package Solutions'!C9+C157+C164</f>
        <v>1059163</v>
      </c>
    </row>
    <row r="14" spans="1:25" ht="18.5" x14ac:dyDescent="0.25">
      <c r="A14" s="142"/>
      <c r="B14" s="141"/>
      <c r="C14" s="139"/>
      <c r="D14" s="139"/>
      <c r="E14" s="82"/>
      <c r="F14" s="82"/>
      <c r="G14" s="149"/>
      <c r="H14" s="149"/>
      <c r="I14" s="148"/>
    </row>
    <row r="15" spans="1:25" ht="23.5" x14ac:dyDescent="0.25">
      <c r="A15" s="366" t="s">
        <v>0</v>
      </c>
      <c r="B15" s="366"/>
      <c r="C15" s="366"/>
      <c r="D15" s="19"/>
      <c r="E15" s="83"/>
      <c r="F15" s="83"/>
      <c r="G15" s="366" t="s">
        <v>1</v>
      </c>
      <c r="H15" s="366"/>
      <c r="I15" s="366"/>
      <c r="J15" s="366"/>
    </row>
    <row r="16" spans="1:25" ht="15.5" x14ac:dyDescent="0.25">
      <c r="A16" s="367" t="s">
        <v>2</v>
      </c>
      <c r="B16" s="367"/>
      <c r="C16" s="367"/>
      <c r="D16" s="13"/>
      <c r="E16" s="81"/>
      <c r="F16" s="81"/>
      <c r="G16" s="367" t="s">
        <v>2</v>
      </c>
      <c r="H16" s="367"/>
      <c r="I16" s="367"/>
    </row>
    <row r="17" spans="1:10" ht="15.65" customHeight="1" x14ac:dyDescent="0.25">
      <c r="A17" s="363" t="s">
        <v>3</v>
      </c>
      <c r="B17" s="363"/>
      <c r="C17" s="364" t="s">
        <v>141</v>
      </c>
      <c r="D17" s="358" t="s">
        <v>142</v>
      </c>
      <c r="E17" s="83"/>
      <c r="F17" s="83"/>
      <c r="G17" s="363" t="s">
        <v>4</v>
      </c>
      <c r="H17" s="363"/>
      <c r="I17" s="364" t="s">
        <v>141</v>
      </c>
      <c r="J17" s="358" t="s">
        <v>142</v>
      </c>
    </row>
    <row r="18" spans="1:10" x14ac:dyDescent="0.25">
      <c r="A18" s="363"/>
      <c r="B18" s="363"/>
      <c r="C18" s="364"/>
      <c r="D18" s="358"/>
      <c r="E18" s="83"/>
      <c r="F18" s="83"/>
      <c r="G18" s="363"/>
      <c r="H18" s="363"/>
      <c r="I18" s="364"/>
      <c r="J18" s="358"/>
    </row>
    <row r="19" spans="1:10" x14ac:dyDescent="0.25">
      <c r="A19" s="359"/>
      <c r="B19" s="359"/>
      <c r="C19" s="359"/>
      <c r="D19" s="12"/>
      <c r="E19" s="83"/>
      <c r="F19" s="83"/>
      <c r="G19" s="359"/>
      <c r="H19" s="359"/>
      <c r="I19" s="359"/>
      <c r="J19"/>
    </row>
    <row r="20" spans="1:10" ht="15.5" x14ac:dyDescent="0.25">
      <c r="A20" s="365" t="s">
        <v>5</v>
      </c>
      <c r="B20" s="365"/>
      <c r="C20" s="365"/>
      <c r="D20" s="17"/>
      <c r="E20" s="83"/>
      <c r="F20" s="83"/>
      <c r="G20" s="20" t="s">
        <v>6</v>
      </c>
      <c r="H20" s="21" t="s">
        <v>7</v>
      </c>
      <c r="I20" s="62">
        <v>30000</v>
      </c>
      <c r="J20" s="62"/>
    </row>
    <row r="21" spans="1:10" x14ac:dyDescent="0.25">
      <c r="A21" s="359"/>
      <c r="B21" s="359"/>
      <c r="C21" s="359"/>
      <c r="D21" s="12"/>
      <c r="E21" s="83"/>
      <c r="F21" s="83"/>
      <c r="G21" s="22" t="s">
        <v>8</v>
      </c>
      <c r="H21" s="21" t="s">
        <v>9</v>
      </c>
      <c r="I21" s="35">
        <v>200</v>
      </c>
      <c r="J21" s="35"/>
    </row>
    <row r="22" spans="1:10" x14ac:dyDescent="0.25">
      <c r="A22" s="23" t="s">
        <v>10</v>
      </c>
      <c r="B22" s="21" t="s">
        <v>9</v>
      </c>
      <c r="C22" s="35">
        <v>1</v>
      </c>
      <c r="D22" s="48"/>
      <c r="E22" s="83"/>
      <c r="F22" s="83"/>
      <c r="G22" s="359"/>
      <c r="H22" s="359"/>
      <c r="I22" s="359"/>
      <c r="J22"/>
    </row>
    <row r="23" spans="1:10" x14ac:dyDescent="0.25">
      <c r="A23" s="359"/>
      <c r="B23" s="359"/>
      <c r="C23" s="359"/>
      <c r="D23" s="12"/>
      <c r="E23" s="83"/>
      <c r="F23" s="83"/>
      <c r="G23" s="23" t="s">
        <v>11</v>
      </c>
      <c r="H23" s="21" t="s">
        <v>9</v>
      </c>
      <c r="I23" s="35">
        <v>500</v>
      </c>
      <c r="J23" s="35"/>
    </row>
    <row r="24" spans="1:10" x14ac:dyDescent="0.25">
      <c r="A24" s="23" t="s">
        <v>12</v>
      </c>
      <c r="B24" s="21" t="s">
        <v>9</v>
      </c>
      <c r="C24" s="35">
        <v>20</v>
      </c>
      <c r="D24" s="48"/>
      <c r="E24" s="83"/>
      <c r="F24" s="83"/>
      <c r="G24" s="24" t="s">
        <v>13</v>
      </c>
      <c r="H24" s="21" t="s">
        <v>7</v>
      </c>
      <c r="I24" s="62">
        <v>50000</v>
      </c>
      <c r="J24" s="62"/>
    </row>
    <row r="25" spans="1:10" x14ac:dyDescent="0.25">
      <c r="A25" s="359"/>
      <c r="B25" s="359"/>
      <c r="C25" s="359"/>
      <c r="D25" s="12"/>
      <c r="E25" s="83"/>
      <c r="F25" s="83"/>
      <c r="G25" s="359"/>
      <c r="H25" s="359"/>
      <c r="I25" s="359"/>
      <c r="J25"/>
    </row>
    <row r="26" spans="1:10" x14ac:dyDescent="0.25">
      <c r="A26" s="23" t="s">
        <v>14</v>
      </c>
      <c r="B26" s="21" t="s">
        <v>9</v>
      </c>
      <c r="C26" s="35">
        <v>20</v>
      </c>
      <c r="D26" s="48"/>
      <c r="E26" s="83"/>
      <c r="F26" s="83"/>
      <c r="G26" s="25" t="s">
        <v>15</v>
      </c>
      <c r="H26" s="21" t="s">
        <v>9</v>
      </c>
      <c r="I26" s="35">
        <v>10</v>
      </c>
      <c r="J26" s="35"/>
    </row>
    <row r="27" spans="1:10" ht="14.4" customHeight="1" x14ac:dyDescent="0.25">
      <c r="A27" s="359"/>
      <c r="B27" s="359"/>
      <c r="C27" s="359"/>
      <c r="D27" s="12"/>
      <c r="E27" s="83"/>
      <c r="F27" s="83"/>
      <c r="G27" s="359"/>
      <c r="H27" s="359"/>
      <c r="I27" s="359"/>
      <c r="J27"/>
    </row>
    <row r="28" spans="1:10" ht="14.4" customHeight="1" x14ac:dyDescent="0.25">
      <c r="A28" s="23" t="s">
        <v>16</v>
      </c>
      <c r="B28" s="21" t="s">
        <v>9</v>
      </c>
      <c r="C28" s="35">
        <v>250</v>
      </c>
      <c r="D28" s="48"/>
      <c r="E28" s="83"/>
      <c r="F28" s="83"/>
      <c r="G28" s="25" t="s">
        <v>17</v>
      </c>
      <c r="H28" s="26" t="s">
        <v>18</v>
      </c>
      <c r="I28" s="35">
        <v>120</v>
      </c>
      <c r="J28" s="35"/>
    </row>
    <row r="29" spans="1:10" x14ac:dyDescent="0.25">
      <c r="A29" s="359"/>
      <c r="B29" s="359"/>
      <c r="C29" s="359"/>
      <c r="D29" s="12"/>
      <c r="E29" s="83"/>
      <c r="F29" s="83"/>
      <c r="G29" s="359"/>
      <c r="H29" s="359"/>
      <c r="I29" s="359"/>
      <c r="J29"/>
    </row>
    <row r="30" spans="1:10" x14ac:dyDescent="0.25">
      <c r="A30" s="23" t="s">
        <v>19</v>
      </c>
      <c r="B30" s="21" t="s">
        <v>9</v>
      </c>
      <c r="C30" s="35">
        <v>20</v>
      </c>
      <c r="D30" s="48"/>
      <c r="E30" s="83"/>
      <c r="F30" s="83"/>
      <c r="G30" s="25" t="s">
        <v>20</v>
      </c>
      <c r="H30" s="26" t="s">
        <v>21</v>
      </c>
      <c r="I30" s="36">
        <v>0.8</v>
      </c>
      <c r="J30" s="36"/>
    </row>
    <row r="31" spans="1:10" x14ac:dyDescent="0.25">
      <c r="A31" s="359"/>
      <c r="B31" s="359"/>
      <c r="C31" s="359"/>
      <c r="D31" s="12"/>
      <c r="E31" s="83"/>
      <c r="F31" s="83"/>
      <c r="G31" s="359"/>
      <c r="H31" s="359"/>
      <c r="I31" s="359"/>
      <c r="J31"/>
    </row>
    <row r="32" spans="1:10" x14ac:dyDescent="0.25">
      <c r="A32" s="23" t="s">
        <v>22</v>
      </c>
      <c r="B32" s="21" t="s">
        <v>9</v>
      </c>
      <c r="C32" s="35">
        <v>1</v>
      </c>
      <c r="D32" s="48"/>
      <c r="E32" s="83"/>
      <c r="F32" s="83"/>
      <c r="G32" s="25" t="s">
        <v>23</v>
      </c>
      <c r="H32" s="21" t="s">
        <v>7</v>
      </c>
      <c r="I32" s="62">
        <v>500</v>
      </c>
      <c r="J32" s="62"/>
    </row>
    <row r="33" spans="1:11" x14ac:dyDescent="0.25">
      <c r="A33" s="359"/>
      <c r="B33" s="359"/>
      <c r="C33" s="359"/>
      <c r="D33" s="12"/>
      <c r="E33" s="83"/>
      <c r="F33" s="83"/>
      <c r="G33" s="25"/>
      <c r="H33" s="21"/>
      <c r="I33" s="73"/>
    </row>
    <row r="34" spans="1:11" ht="15.75" customHeight="1" x14ac:dyDescent="0.25">
      <c r="A34" s="365" t="s">
        <v>24</v>
      </c>
      <c r="B34" s="365"/>
      <c r="C34" s="365"/>
      <c r="D34" s="17"/>
      <c r="E34" s="83"/>
      <c r="F34" s="83"/>
      <c r="G34" s="22" t="s">
        <v>144</v>
      </c>
      <c r="H34" s="29" t="s">
        <v>49</v>
      </c>
      <c r="I34" s="130">
        <f>I26*I32</f>
        <v>5000</v>
      </c>
      <c r="J34" s="74">
        <v>800</v>
      </c>
      <c r="K34" s="6" t="s">
        <v>148</v>
      </c>
    </row>
    <row r="35" spans="1:11" x14ac:dyDescent="0.25">
      <c r="A35" s="359"/>
      <c r="B35" s="359"/>
      <c r="C35" s="359"/>
      <c r="D35" s="12"/>
      <c r="E35" s="83"/>
      <c r="F35" s="83"/>
      <c r="G35" s="22"/>
      <c r="H35" s="21"/>
      <c r="I35" s="73"/>
    </row>
    <row r="36" spans="1:11" ht="15.75" customHeight="1" x14ac:dyDescent="0.25">
      <c r="A36" s="23" t="s">
        <v>28</v>
      </c>
      <c r="B36" s="21" t="s">
        <v>7</v>
      </c>
      <c r="C36" s="62">
        <v>23</v>
      </c>
      <c r="D36" s="49"/>
      <c r="E36" s="83"/>
      <c r="F36" s="83"/>
      <c r="G36" s="25" t="s">
        <v>25</v>
      </c>
      <c r="H36" s="26" t="s">
        <v>26</v>
      </c>
      <c r="I36" s="37" t="s">
        <v>143</v>
      </c>
    </row>
    <row r="37" spans="1:11" x14ac:dyDescent="0.25">
      <c r="A37" s="368" t="s">
        <v>30</v>
      </c>
      <c r="B37" s="368"/>
      <c r="C37" s="368"/>
      <c r="D37" s="10"/>
      <c r="E37" s="83"/>
      <c r="F37" s="83"/>
      <c r="G37" s="369" t="s">
        <v>27</v>
      </c>
      <c r="H37" s="369"/>
      <c r="I37" s="369"/>
    </row>
    <row r="38" spans="1:11" ht="14.4" customHeight="1" x14ac:dyDescent="0.25">
      <c r="A38" s="20" t="s">
        <v>31</v>
      </c>
      <c r="B38" s="21" t="s">
        <v>9</v>
      </c>
      <c r="C38" s="35">
        <v>200</v>
      </c>
      <c r="D38" s="48"/>
      <c r="E38" s="83"/>
      <c r="F38" s="83"/>
      <c r="G38" s="363" t="s">
        <v>29</v>
      </c>
      <c r="H38" s="363"/>
      <c r="I38" s="364" t="s">
        <v>141</v>
      </c>
      <c r="J38" s="358" t="s">
        <v>142</v>
      </c>
    </row>
    <row r="39" spans="1:11" ht="14.4" customHeight="1" x14ac:dyDescent="0.25">
      <c r="A39" s="368" t="s">
        <v>30</v>
      </c>
      <c r="B39" s="368"/>
      <c r="C39" s="368"/>
      <c r="D39" s="10"/>
      <c r="E39" s="83"/>
      <c r="F39" s="83"/>
      <c r="G39" s="363"/>
      <c r="H39" s="363"/>
      <c r="I39" s="364"/>
      <c r="J39" s="358"/>
    </row>
    <row r="40" spans="1:11" x14ac:dyDescent="0.25">
      <c r="A40" s="23" t="s">
        <v>33</v>
      </c>
      <c r="B40" s="21" t="s">
        <v>34</v>
      </c>
      <c r="C40" s="38">
        <v>200</v>
      </c>
      <c r="D40" s="50"/>
      <c r="E40" s="83"/>
      <c r="F40" s="83"/>
      <c r="G40" s="359"/>
      <c r="H40" s="359"/>
      <c r="I40" s="359"/>
    </row>
    <row r="41" spans="1:11" x14ac:dyDescent="0.25">
      <c r="A41" s="368" t="s">
        <v>30</v>
      </c>
      <c r="B41" s="368"/>
      <c r="C41" s="368"/>
      <c r="D41" s="10"/>
      <c r="E41" s="83"/>
      <c r="F41" s="83"/>
      <c r="G41" s="23" t="s">
        <v>32</v>
      </c>
      <c r="H41" s="21" t="s">
        <v>9</v>
      </c>
      <c r="I41" s="35">
        <v>30</v>
      </c>
      <c r="J41" s="35"/>
    </row>
    <row r="42" spans="1:11" x14ac:dyDescent="0.25">
      <c r="A42" s="23" t="s">
        <v>36</v>
      </c>
      <c r="B42" s="21" t="s">
        <v>37</v>
      </c>
      <c r="C42" s="35">
        <v>8</v>
      </c>
      <c r="D42" s="51"/>
      <c r="E42" s="83"/>
      <c r="F42" s="83"/>
      <c r="G42" s="368"/>
      <c r="H42" s="368"/>
      <c r="I42" s="368"/>
    </row>
    <row r="43" spans="1:11" x14ac:dyDescent="0.25">
      <c r="A43" s="368" t="s">
        <v>30</v>
      </c>
      <c r="B43" s="368"/>
      <c r="C43" s="368"/>
      <c r="D43" s="10"/>
      <c r="E43" s="83"/>
      <c r="F43" s="83"/>
      <c r="G43" s="23" t="s">
        <v>35</v>
      </c>
      <c r="H43" s="21" t="s">
        <v>9</v>
      </c>
      <c r="I43" s="35">
        <v>10</v>
      </c>
      <c r="J43" s="35"/>
    </row>
    <row r="44" spans="1:11" x14ac:dyDescent="0.25">
      <c r="A44" s="360"/>
      <c r="B44" s="360"/>
      <c r="C44" s="360"/>
      <c r="D44" s="15"/>
      <c r="E44" s="83"/>
      <c r="F44" s="83"/>
      <c r="G44" s="368"/>
      <c r="H44" s="368"/>
      <c r="I44" s="368"/>
    </row>
    <row r="45" spans="1:11" ht="15.65" customHeight="1" x14ac:dyDescent="0.25">
      <c r="A45" s="363" t="s">
        <v>39</v>
      </c>
      <c r="B45" s="363"/>
      <c r="C45" s="364" t="s">
        <v>141</v>
      </c>
      <c r="D45" s="358" t="s">
        <v>142</v>
      </c>
      <c r="E45" s="83"/>
      <c r="F45" s="83"/>
      <c r="G45" s="23" t="s">
        <v>38</v>
      </c>
      <c r="H45" s="21" t="s">
        <v>7</v>
      </c>
      <c r="I45" s="62">
        <v>20000</v>
      </c>
      <c r="J45" s="62"/>
    </row>
    <row r="46" spans="1:11" x14ac:dyDescent="0.25">
      <c r="A46" s="363"/>
      <c r="B46" s="363"/>
      <c r="C46" s="364"/>
      <c r="D46" s="358"/>
      <c r="E46" s="83"/>
      <c r="F46" s="83"/>
      <c r="G46" s="23"/>
      <c r="H46" s="21"/>
      <c r="I46" s="73"/>
    </row>
    <row r="47" spans="1:11" x14ac:dyDescent="0.25">
      <c r="A47" s="360"/>
      <c r="B47" s="360"/>
      <c r="C47" s="360"/>
      <c r="D47" s="15"/>
      <c r="E47" s="83"/>
      <c r="F47" s="83"/>
      <c r="G47" s="25" t="s">
        <v>145</v>
      </c>
      <c r="H47" s="21" t="s">
        <v>37</v>
      </c>
      <c r="I47" s="35">
        <v>5</v>
      </c>
      <c r="J47" s="35">
        <v>2</v>
      </c>
    </row>
    <row r="48" spans="1:11" ht="15.5" x14ac:dyDescent="0.25">
      <c r="A48" s="362" t="s">
        <v>42</v>
      </c>
      <c r="B48" s="362"/>
      <c r="C48" s="362"/>
      <c r="D48" s="18"/>
      <c r="E48" s="83"/>
      <c r="F48" s="83"/>
      <c r="G48" s="25"/>
      <c r="H48" s="21"/>
      <c r="I48" s="73"/>
      <c r="J48" s="73"/>
      <c r="K48" s="5"/>
    </row>
    <row r="49" spans="1:17" x14ac:dyDescent="0.25">
      <c r="A49" s="360"/>
      <c r="B49" s="360"/>
      <c r="C49" s="360"/>
      <c r="D49" s="15"/>
      <c r="E49" s="83"/>
      <c r="F49" s="83"/>
      <c r="G49" s="22" t="s">
        <v>164</v>
      </c>
      <c r="H49" s="21" t="s">
        <v>146</v>
      </c>
      <c r="I49" s="131">
        <f>I47*C36*12</f>
        <v>1380</v>
      </c>
      <c r="J49" s="77">
        <f>J47*C36*12</f>
        <v>552</v>
      </c>
    </row>
    <row r="50" spans="1:17" x14ac:dyDescent="0.25">
      <c r="A50" s="25" t="s">
        <v>43</v>
      </c>
      <c r="B50" s="26" t="s">
        <v>9</v>
      </c>
      <c r="C50" s="41">
        <v>1000</v>
      </c>
      <c r="D50" s="41"/>
      <c r="E50" s="83"/>
      <c r="F50" s="83"/>
      <c r="G50" s="22" t="s">
        <v>165</v>
      </c>
      <c r="H50" s="26" t="s">
        <v>146</v>
      </c>
      <c r="I50" s="62"/>
      <c r="J50" s="77">
        <f>I49-J49</f>
        <v>828</v>
      </c>
    </row>
    <row r="51" spans="1:17" x14ac:dyDescent="0.25">
      <c r="A51" s="359"/>
      <c r="B51" s="359"/>
      <c r="C51" s="359"/>
      <c r="D51" s="12"/>
      <c r="E51" s="83"/>
      <c r="F51" s="83"/>
      <c r="G51" s="22" t="s">
        <v>166</v>
      </c>
      <c r="H51" s="26" t="s">
        <v>37</v>
      </c>
      <c r="I51" s="35"/>
      <c r="J51" s="90">
        <f>J50/C36</f>
        <v>36</v>
      </c>
    </row>
    <row r="52" spans="1:17" x14ac:dyDescent="0.25">
      <c r="A52" s="27" t="s">
        <v>45</v>
      </c>
      <c r="B52" s="21" t="s">
        <v>7</v>
      </c>
      <c r="C52" s="62">
        <v>250</v>
      </c>
      <c r="D52" s="34"/>
      <c r="E52" s="83"/>
      <c r="F52" s="83"/>
      <c r="G52" s="25"/>
      <c r="H52" s="10"/>
      <c r="I52" s="10"/>
      <c r="J52" s="10"/>
    </row>
    <row r="53" spans="1:17" ht="14.4" customHeight="1" x14ac:dyDescent="0.25">
      <c r="A53" s="368" t="s">
        <v>30</v>
      </c>
      <c r="B53" s="368"/>
      <c r="C53" s="368"/>
      <c r="D53" s="10"/>
      <c r="E53" s="83"/>
      <c r="F53" s="83"/>
      <c r="G53" s="25" t="s">
        <v>147</v>
      </c>
      <c r="H53" s="21" t="s">
        <v>37</v>
      </c>
      <c r="I53" s="35">
        <v>20</v>
      </c>
      <c r="J53" s="35">
        <v>10</v>
      </c>
    </row>
    <row r="54" spans="1:17" ht="14.4" customHeight="1" x14ac:dyDescent="0.25">
      <c r="A54" s="28" t="s">
        <v>47</v>
      </c>
      <c r="B54" s="21" t="s">
        <v>7</v>
      </c>
      <c r="C54" s="63">
        <v>250000</v>
      </c>
      <c r="D54" s="43"/>
      <c r="E54" s="83"/>
      <c r="F54" s="83"/>
      <c r="I54" s="195">
        <f>I53*12</f>
        <v>240</v>
      </c>
      <c r="J54" s="195">
        <f>J53*12</f>
        <v>120</v>
      </c>
      <c r="K54" s="194" t="s">
        <v>193</v>
      </c>
      <c r="L54" s="194"/>
      <c r="M54" s="194"/>
      <c r="N54" s="194"/>
      <c r="O54" s="194"/>
      <c r="P54" s="194"/>
      <c r="Q54" s="194"/>
    </row>
    <row r="55" spans="1:17" x14ac:dyDescent="0.25">
      <c r="A55" s="359"/>
      <c r="B55" s="359"/>
      <c r="C55" s="359"/>
      <c r="D55" s="12"/>
      <c r="E55" s="83"/>
      <c r="F55" s="83"/>
      <c r="G55" s="22" t="s">
        <v>167</v>
      </c>
      <c r="H55" s="21" t="s">
        <v>146</v>
      </c>
      <c r="I55" s="131">
        <f>I53*C36*12</f>
        <v>5520</v>
      </c>
      <c r="J55" s="77">
        <f>J53*C36*12</f>
        <v>2760</v>
      </c>
    </row>
    <row r="56" spans="1:17" x14ac:dyDescent="0.25">
      <c r="A56" s="30" t="s">
        <v>50</v>
      </c>
      <c r="B56" s="21" t="s">
        <v>18</v>
      </c>
      <c r="C56" s="35">
        <v>100</v>
      </c>
      <c r="D56" s="35"/>
      <c r="E56" s="83"/>
      <c r="F56" s="83"/>
      <c r="G56" s="22" t="s">
        <v>168</v>
      </c>
      <c r="H56" s="21"/>
      <c r="I56" s="62"/>
      <c r="J56" s="77">
        <f>I55-J55</f>
        <v>2760</v>
      </c>
    </row>
    <row r="57" spans="1:17" ht="15" customHeight="1" x14ac:dyDescent="0.25">
      <c r="A57" s="359"/>
      <c r="B57" s="359"/>
      <c r="C57" s="359"/>
      <c r="D57" s="12"/>
      <c r="E57" s="83"/>
      <c r="F57" s="83"/>
      <c r="G57" s="22" t="s">
        <v>169</v>
      </c>
      <c r="H57" s="21"/>
      <c r="I57" s="62"/>
      <c r="J57" s="109">
        <f>J56/C36</f>
        <v>120</v>
      </c>
    </row>
    <row r="58" spans="1:17" x14ac:dyDescent="0.25">
      <c r="A58" s="28" t="s">
        <v>52</v>
      </c>
      <c r="B58" s="21" t="s">
        <v>53</v>
      </c>
      <c r="C58" s="35">
        <v>2</v>
      </c>
      <c r="D58" s="39"/>
      <c r="E58" s="83"/>
      <c r="F58" s="83"/>
      <c r="G58" s="22"/>
      <c r="H58" s="21"/>
      <c r="I58" s="73"/>
      <c r="J58" s="73"/>
    </row>
    <row r="59" spans="1:17" ht="15.75" customHeight="1" x14ac:dyDescent="0.25">
      <c r="A59" s="360"/>
      <c r="B59" s="360"/>
      <c r="C59" s="360"/>
      <c r="D59" s="15"/>
      <c r="E59" s="83"/>
      <c r="F59" s="83"/>
      <c r="G59" s="20" t="s">
        <v>40</v>
      </c>
      <c r="H59" s="75"/>
      <c r="I59" s="40">
        <v>0.63</v>
      </c>
      <c r="J59"/>
    </row>
    <row r="60" spans="1:17" ht="15.5" x14ac:dyDescent="0.25">
      <c r="A60" s="362" t="s">
        <v>55</v>
      </c>
      <c r="B60" s="362"/>
      <c r="C60" s="362"/>
      <c r="D60" s="18"/>
      <c r="E60" s="81"/>
      <c r="F60" s="81"/>
      <c r="G60" s="10"/>
    </row>
    <row r="61" spans="1:17" ht="31" x14ac:dyDescent="0.25">
      <c r="A61" s="359"/>
      <c r="B61" s="359"/>
      <c r="C61" s="359"/>
      <c r="D61" s="12"/>
      <c r="E61" s="84"/>
      <c r="F61" s="84"/>
      <c r="G61" s="16" t="s">
        <v>41</v>
      </c>
      <c r="H61" s="78"/>
      <c r="I61" s="364" t="s">
        <v>141</v>
      </c>
      <c r="J61" s="358" t="s">
        <v>142</v>
      </c>
    </row>
    <row r="62" spans="1:17" ht="15.5" x14ac:dyDescent="0.25">
      <c r="A62" s="23" t="s">
        <v>56</v>
      </c>
      <c r="B62" s="21" t="s">
        <v>9</v>
      </c>
      <c r="C62" s="35">
        <v>10</v>
      </c>
      <c r="D62" s="35"/>
      <c r="E62" s="81"/>
      <c r="F62" s="81"/>
      <c r="G62" s="16"/>
      <c r="H62" s="78"/>
      <c r="I62" s="364"/>
      <c r="J62" s="358"/>
    </row>
    <row r="63" spans="1:17" ht="14.4" customHeight="1" x14ac:dyDescent="0.25">
      <c r="A63" s="359"/>
      <c r="B63" s="359"/>
      <c r="C63" s="359"/>
      <c r="D63" s="12"/>
      <c r="E63" s="81"/>
      <c r="F63" s="81"/>
      <c r="G63" s="10"/>
      <c r="I63" s="10"/>
    </row>
    <row r="64" spans="1:17" ht="14.4" customHeight="1" x14ac:dyDescent="0.25">
      <c r="A64" s="23" t="s">
        <v>58</v>
      </c>
      <c r="B64" s="21" t="s">
        <v>7</v>
      </c>
      <c r="C64" s="62">
        <v>75</v>
      </c>
      <c r="D64" s="34"/>
      <c r="E64" s="83"/>
      <c r="F64" s="83"/>
      <c r="G64" s="20" t="s">
        <v>44</v>
      </c>
      <c r="H64" s="10"/>
      <c r="I64" s="35">
        <v>3</v>
      </c>
      <c r="J64" s="35">
        <v>1</v>
      </c>
      <c r="K64" s="110" t="s">
        <v>163</v>
      </c>
    </row>
    <row r="65" spans="1:17" x14ac:dyDescent="0.25">
      <c r="A65" s="359"/>
      <c r="B65" s="359"/>
      <c r="C65" s="359"/>
      <c r="D65" s="12"/>
      <c r="E65" s="83"/>
      <c r="F65" s="83"/>
      <c r="G65" s="10" t="s">
        <v>30</v>
      </c>
      <c r="H65" s="26" t="s">
        <v>37</v>
      </c>
      <c r="I65" s="196">
        <f>I64*$C$40</f>
        <v>600</v>
      </c>
      <c r="J65" s="196">
        <f>J64*$C$40</f>
        <v>200</v>
      </c>
      <c r="K65" s="194" t="s">
        <v>193</v>
      </c>
      <c r="L65" s="194"/>
      <c r="M65" s="194"/>
      <c r="N65" s="194"/>
      <c r="O65" s="194"/>
      <c r="P65" s="194"/>
      <c r="Q65" s="194"/>
    </row>
    <row r="66" spans="1:17" x14ac:dyDescent="0.25">
      <c r="A66" s="23" t="s">
        <v>60</v>
      </c>
      <c r="B66" s="21" t="s">
        <v>9</v>
      </c>
      <c r="C66" s="35">
        <v>5</v>
      </c>
      <c r="D66" s="35"/>
      <c r="E66" s="83"/>
      <c r="F66" s="83"/>
      <c r="G66" s="23" t="s">
        <v>28</v>
      </c>
      <c r="H66" s="10"/>
      <c r="I66" s="42">
        <f>C36</f>
        <v>23</v>
      </c>
      <c r="J66" s="35"/>
    </row>
    <row r="67" spans="1:17" x14ac:dyDescent="0.25">
      <c r="A67" s="359"/>
      <c r="B67" s="359"/>
      <c r="C67" s="359"/>
      <c r="D67" s="12"/>
      <c r="E67" s="81"/>
      <c r="F67" s="81"/>
      <c r="G67" s="10" t="s">
        <v>46</v>
      </c>
      <c r="H67" s="26" t="s">
        <v>7</v>
      </c>
      <c r="I67" s="10"/>
      <c r="J67"/>
    </row>
    <row r="68" spans="1:17" ht="15" customHeight="1" x14ac:dyDescent="0.25">
      <c r="A68" s="23" t="s">
        <v>62</v>
      </c>
      <c r="B68" s="21" t="s">
        <v>7</v>
      </c>
      <c r="C68" s="62">
        <v>200</v>
      </c>
      <c r="D68" s="34"/>
      <c r="E68" s="83"/>
      <c r="F68" s="83"/>
      <c r="G68" s="22" t="s">
        <v>48</v>
      </c>
      <c r="H68" s="29" t="s">
        <v>49</v>
      </c>
      <c r="I68" s="132">
        <f>I64*C40*I66</f>
        <v>13800</v>
      </c>
      <c r="J68" s="44">
        <f>J64*I66*C40</f>
        <v>4600</v>
      </c>
    </row>
    <row r="69" spans="1:17" x14ac:dyDescent="0.25">
      <c r="A69" s="360"/>
      <c r="B69" s="360"/>
      <c r="C69" s="360"/>
      <c r="D69" s="15"/>
      <c r="E69" s="81"/>
      <c r="F69" s="81"/>
      <c r="G69" s="10"/>
      <c r="I69" s="10"/>
      <c r="J69"/>
    </row>
    <row r="70" spans="1:17" ht="15.5" x14ac:dyDescent="0.25">
      <c r="A70" s="362" t="s">
        <v>64</v>
      </c>
      <c r="B70" s="362"/>
      <c r="C70" s="362"/>
      <c r="D70" s="18"/>
      <c r="E70" s="83"/>
      <c r="F70" s="83"/>
      <c r="G70" s="20" t="s">
        <v>51</v>
      </c>
      <c r="H70" s="21" t="s">
        <v>9</v>
      </c>
      <c r="I70" s="35">
        <v>1</v>
      </c>
      <c r="J70" s="90">
        <v>12</v>
      </c>
    </row>
    <row r="71" spans="1:17" ht="15" customHeight="1" x14ac:dyDescent="0.25">
      <c r="A71" s="359"/>
      <c r="B71" s="359"/>
      <c r="C71" s="359"/>
      <c r="D71" s="12"/>
      <c r="E71" s="83"/>
      <c r="F71" s="83"/>
      <c r="G71" s="10"/>
      <c r="I71" s="10"/>
      <c r="J71"/>
    </row>
    <row r="72" spans="1:17" ht="15" customHeight="1" x14ac:dyDescent="0.25">
      <c r="A72" s="23" t="s">
        <v>66</v>
      </c>
      <c r="B72" s="26" t="s">
        <v>7</v>
      </c>
      <c r="C72" s="63">
        <v>500000</v>
      </c>
      <c r="D72" s="43"/>
      <c r="E72" s="83"/>
      <c r="F72" s="83"/>
      <c r="G72" s="25" t="s">
        <v>54</v>
      </c>
      <c r="H72" s="26" t="s">
        <v>37</v>
      </c>
      <c r="I72" s="35">
        <f>42*30</f>
        <v>1260</v>
      </c>
      <c r="J72" s="90">
        <v>7</v>
      </c>
    </row>
    <row r="73" spans="1:17" ht="15" customHeight="1" x14ac:dyDescent="0.25">
      <c r="A73" s="359"/>
      <c r="B73" s="359"/>
      <c r="C73" s="359"/>
      <c r="D73" s="12"/>
      <c r="E73" s="83"/>
      <c r="F73" s="83"/>
      <c r="G73" s="10"/>
      <c r="H73" s="26"/>
      <c r="I73" s="10"/>
      <c r="J73"/>
    </row>
    <row r="74" spans="1:17" x14ac:dyDescent="0.25">
      <c r="A74" s="25" t="s">
        <v>68</v>
      </c>
      <c r="B74" s="26" t="s">
        <v>26</v>
      </c>
      <c r="C74" s="37" t="s">
        <v>77</v>
      </c>
      <c r="D74" s="37"/>
      <c r="E74" s="83"/>
      <c r="F74" s="83"/>
      <c r="G74" s="23" t="s">
        <v>28</v>
      </c>
      <c r="H74" s="26" t="s">
        <v>7</v>
      </c>
      <c r="I74" s="42">
        <f>C36</f>
        <v>23</v>
      </c>
      <c r="J74" s="42">
        <f>I74</f>
        <v>23</v>
      </c>
    </row>
    <row r="75" spans="1:17" x14ac:dyDescent="0.25">
      <c r="A75" s="359"/>
      <c r="B75" s="359"/>
      <c r="C75" s="359"/>
      <c r="D75" s="12"/>
      <c r="E75" s="83"/>
      <c r="F75" s="83"/>
      <c r="G75" s="10" t="s">
        <v>46</v>
      </c>
      <c r="H75" s="26"/>
      <c r="I75" s="10"/>
      <c r="J75"/>
    </row>
    <row r="76" spans="1:17" x14ac:dyDescent="0.25">
      <c r="A76" s="23" t="s">
        <v>70</v>
      </c>
      <c r="B76" s="26" t="s">
        <v>21</v>
      </c>
      <c r="C76" s="36">
        <v>0.05</v>
      </c>
      <c r="D76" s="36"/>
      <c r="E76" s="83"/>
      <c r="F76" s="83"/>
      <c r="G76" s="22" t="s">
        <v>57</v>
      </c>
      <c r="H76" s="29" t="s">
        <v>49</v>
      </c>
      <c r="I76" s="132">
        <f>I70*(I72*I74)</f>
        <v>28980</v>
      </c>
      <c r="J76" s="44">
        <f>J70*(J72*J74)</f>
        <v>1932</v>
      </c>
    </row>
    <row r="77" spans="1:17" x14ac:dyDescent="0.25">
      <c r="A77" s="359"/>
      <c r="B77" s="359"/>
      <c r="C77" s="359"/>
      <c r="D77" s="12"/>
      <c r="E77" s="83"/>
      <c r="F77" s="83"/>
      <c r="G77" s="22" t="s">
        <v>170</v>
      </c>
      <c r="H77" s="29" t="s">
        <v>7</v>
      </c>
      <c r="I77" s="44"/>
      <c r="J77" s="74">
        <f>I76-J76</f>
        <v>27048</v>
      </c>
    </row>
    <row r="78" spans="1:17" ht="14.4" customHeight="1" x14ac:dyDescent="0.25">
      <c r="A78" s="23" t="s">
        <v>149</v>
      </c>
      <c r="B78" s="26" t="s">
        <v>18</v>
      </c>
      <c r="C78" s="35">
        <v>480</v>
      </c>
      <c r="D78" s="35">
        <v>60</v>
      </c>
      <c r="E78" s="83"/>
      <c r="F78" s="83"/>
      <c r="G78" s="22" t="s">
        <v>171</v>
      </c>
      <c r="H78" s="29" t="s">
        <v>37</v>
      </c>
      <c r="I78" s="44"/>
      <c r="J78" s="108">
        <f>J77/C36</f>
        <v>1176</v>
      </c>
    </row>
    <row r="79" spans="1:17" ht="14.4" customHeight="1" x14ac:dyDescent="0.25">
      <c r="A79" s="23"/>
      <c r="B79" s="26"/>
      <c r="C79" s="48"/>
      <c r="D79" s="48"/>
      <c r="E79" s="83"/>
      <c r="F79" s="83"/>
      <c r="G79" s="10"/>
      <c r="H79" s="10"/>
      <c r="I79" s="10"/>
      <c r="J79"/>
    </row>
    <row r="80" spans="1:17" ht="15.65" customHeight="1" x14ac:dyDescent="0.25">
      <c r="A80" s="22" t="s">
        <v>150</v>
      </c>
      <c r="B80" s="29" t="s">
        <v>49</v>
      </c>
      <c r="C80" s="175">
        <f>C78/60*C36*12</f>
        <v>2208</v>
      </c>
      <c r="D80" s="95">
        <f>D78/60*C36*12</f>
        <v>276</v>
      </c>
      <c r="E80" s="83"/>
      <c r="F80" s="83"/>
      <c r="G80" s="25" t="s">
        <v>59</v>
      </c>
      <c r="H80" s="21" t="s">
        <v>7</v>
      </c>
      <c r="I80" s="34"/>
      <c r="J80"/>
    </row>
    <row r="81" spans="1:10" ht="14.4" customHeight="1" x14ac:dyDescent="0.25">
      <c r="A81" s="22"/>
      <c r="B81" s="26"/>
      <c r="C81" s="93"/>
      <c r="D81" s="94"/>
      <c r="E81" s="81"/>
      <c r="F81" s="81"/>
      <c r="G81" s="10"/>
      <c r="H81" s="10"/>
      <c r="I81" s="10"/>
      <c r="J81"/>
    </row>
    <row r="82" spans="1:10" x14ac:dyDescent="0.25">
      <c r="A82" s="22" t="s">
        <v>151</v>
      </c>
      <c r="B82" s="26" t="s">
        <v>7</v>
      </c>
      <c r="C82" s="91"/>
      <c r="D82" s="92">
        <f>C80-D80</f>
        <v>1932</v>
      </c>
      <c r="E82" s="81"/>
      <c r="F82" s="81"/>
      <c r="G82" s="25" t="s">
        <v>61</v>
      </c>
      <c r="H82" s="26" t="s">
        <v>18</v>
      </c>
      <c r="I82" s="35"/>
      <c r="J82"/>
    </row>
    <row r="83" spans="1:10" x14ac:dyDescent="0.25">
      <c r="A83" s="22" t="s">
        <v>152</v>
      </c>
      <c r="B83" s="26" t="s">
        <v>37</v>
      </c>
      <c r="C83" s="102"/>
      <c r="D83" s="103">
        <f>C78/60-D78/60</f>
        <v>7</v>
      </c>
      <c r="E83" s="81"/>
      <c r="F83" s="81"/>
      <c r="G83" s="10"/>
      <c r="H83" s="10"/>
      <c r="I83" s="10"/>
      <c r="J83"/>
    </row>
    <row r="84" spans="1:10" x14ac:dyDescent="0.25">
      <c r="A84" s="360"/>
      <c r="B84" s="360"/>
      <c r="C84" s="360"/>
      <c r="D84" s="15"/>
      <c r="E84" s="81"/>
      <c r="F84" s="81"/>
      <c r="G84" s="25" t="s">
        <v>63</v>
      </c>
      <c r="H84" s="26" t="s">
        <v>7</v>
      </c>
      <c r="I84" s="34"/>
      <c r="J84"/>
    </row>
    <row r="85" spans="1:10" x14ac:dyDescent="0.25">
      <c r="A85" s="363" t="s">
        <v>73</v>
      </c>
      <c r="B85" s="363"/>
      <c r="C85" s="364" t="s">
        <v>141</v>
      </c>
      <c r="D85" s="358" t="s">
        <v>142</v>
      </c>
      <c r="E85" s="81"/>
      <c r="F85" s="81"/>
      <c r="G85" s="10"/>
      <c r="H85" s="10"/>
      <c r="I85" s="10"/>
      <c r="J85"/>
    </row>
    <row r="86" spans="1:10" x14ac:dyDescent="0.25">
      <c r="A86" s="363"/>
      <c r="B86" s="363"/>
      <c r="C86" s="364"/>
      <c r="D86" s="358"/>
      <c r="E86" s="81"/>
      <c r="F86" s="81"/>
      <c r="G86" s="25" t="s">
        <v>65</v>
      </c>
      <c r="H86" s="21" t="s">
        <v>9</v>
      </c>
      <c r="I86" s="35"/>
      <c r="J86"/>
    </row>
    <row r="87" spans="1:10" ht="15.5" x14ac:dyDescent="0.25">
      <c r="A87" s="363"/>
      <c r="B87" s="363"/>
      <c r="C87" s="53"/>
      <c r="D87" s="16"/>
      <c r="E87" s="81"/>
      <c r="F87" s="81"/>
      <c r="G87" s="10"/>
      <c r="J87"/>
    </row>
    <row r="88" spans="1:10" ht="46.5" x14ac:dyDescent="0.25">
      <c r="A88" s="359"/>
      <c r="B88" s="359"/>
      <c r="C88" s="359"/>
      <c r="D88" s="12"/>
      <c r="E88" s="81"/>
      <c r="F88" s="81"/>
      <c r="G88" s="16" t="s">
        <v>67</v>
      </c>
      <c r="H88" s="16"/>
      <c r="I88" s="14" t="s">
        <v>141</v>
      </c>
      <c r="J88" s="54" t="s">
        <v>142</v>
      </c>
    </row>
    <row r="89" spans="1:10" ht="15.5" x14ac:dyDescent="0.25">
      <c r="A89" s="20" t="s">
        <v>76</v>
      </c>
      <c r="B89" s="26" t="s">
        <v>26</v>
      </c>
      <c r="C89" s="41" t="s">
        <v>77</v>
      </c>
      <c r="D89" s="37"/>
      <c r="E89" s="81"/>
      <c r="F89" s="81"/>
      <c r="G89" s="75"/>
      <c r="H89" s="75"/>
      <c r="I89" s="114"/>
      <c r="J89" s="115"/>
    </row>
    <row r="90" spans="1:10" x14ac:dyDescent="0.25">
      <c r="A90" s="31" t="s">
        <v>79</v>
      </c>
      <c r="B90" s="26" t="s">
        <v>18</v>
      </c>
      <c r="C90" s="41">
        <v>240</v>
      </c>
      <c r="D90" s="41"/>
      <c r="E90" s="81"/>
      <c r="F90" s="81"/>
      <c r="G90" s="10"/>
      <c r="J90" s="48"/>
    </row>
    <row r="91" spans="1:10" ht="15.5" x14ac:dyDescent="0.25">
      <c r="A91" s="359"/>
      <c r="B91" s="359"/>
      <c r="C91" s="359"/>
      <c r="D91" s="12"/>
      <c r="E91" s="81"/>
      <c r="F91" s="81"/>
      <c r="G91" s="18" t="s">
        <v>69</v>
      </c>
      <c r="H91" s="112"/>
      <c r="I91" s="112"/>
      <c r="J91" s="113"/>
    </row>
    <row r="92" spans="1:10" x14ac:dyDescent="0.25">
      <c r="A92" s="20" t="s">
        <v>81</v>
      </c>
      <c r="B92" s="26" t="s">
        <v>26</v>
      </c>
      <c r="C92" s="37" t="s">
        <v>77</v>
      </c>
      <c r="D92" s="37"/>
      <c r="E92" s="81"/>
      <c r="F92" s="81"/>
      <c r="G92" s="10"/>
      <c r="H92" s="10"/>
      <c r="I92" s="10"/>
      <c r="J92"/>
    </row>
    <row r="93" spans="1:10" ht="14.4" customHeight="1" x14ac:dyDescent="0.25">
      <c r="A93" s="31" t="s">
        <v>83</v>
      </c>
      <c r="B93" s="26" t="s">
        <v>84</v>
      </c>
      <c r="C93" s="41">
        <v>14</v>
      </c>
      <c r="D93" s="41"/>
      <c r="E93" s="81"/>
      <c r="F93" s="81"/>
      <c r="G93" s="20" t="s">
        <v>71</v>
      </c>
      <c r="H93" s="26" t="s">
        <v>26</v>
      </c>
      <c r="I93" s="37" t="s">
        <v>77</v>
      </c>
      <c r="J93"/>
    </row>
    <row r="94" spans="1:10" x14ac:dyDescent="0.25">
      <c r="A94" s="359"/>
      <c r="B94" s="359"/>
      <c r="C94" s="359"/>
      <c r="D94" s="12"/>
      <c r="E94" s="81"/>
      <c r="F94" s="81"/>
      <c r="G94" s="22" t="s">
        <v>72</v>
      </c>
      <c r="H94" s="21" t="s">
        <v>9</v>
      </c>
      <c r="I94" s="35">
        <v>20</v>
      </c>
      <c r="J94" s="35">
        <v>2</v>
      </c>
    </row>
    <row r="95" spans="1:10" x14ac:dyDescent="0.25">
      <c r="A95" s="23" t="s">
        <v>86</v>
      </c>
      <c r="B95" s="21" t="s">
        <v>9</v>
      </c>
      <c r="C95" s="35">
        <v>10</v>
      </c>
      <c r="D95" s="35"/>
      <c r="E95" s="81"/>
      <c r="F95" s="81"/>
      <c r="G95" s="10" t="s">
        <v>30</v>
      </c>
      <c r="H95" s="10"/>
      <c r="I95" s="10"/>
      <c r="J95"/>
    </row>
    <row r="96" spans="1:10" ht="15.75" customHeight="1" x14ac:dyDescent="0.25">
      <c r="A96" s="359"/>
      <c r="B96" s="359"/>
      <c r="C96" s="359"/>
      <c r="D96" s="12"/>
      <c r="E96" s="81"/>
      <c r="F96" s="81"/>
      <c r="G96" s="27" t="s">
        <v>45</v>
      </c>
      <c r="H96" s="26" t="s">
        <v>7</v>
      </c>
      <c r="I96" s="111">
        <v>150</v>
      </c>
      <c r="J96" s="45">
        <v>250</v>
      </c>
    </row>
    <row r="97" spans="1:10" x14ac:dyDescent="0.25">
      <c r="A97" s="23" t="s">
        <v>88</v>
      </c>
      <c r="B97" s="26" t="s">
        <v>7</v>
      </c>
      <c r="C97" s="63">
        <v>100</v>
      </c>
      <c r="D97" s="43"/>
      <c r="E97" s="81"/>
      <c r="F97" s="81"/>
      <c r="G97" s="10" t="s">
        <v>74</v>
      </c>
      <c r="H97" s="10"/>
      <c r="I97" s="117"/>
      <c r="J97"/>
    </row>
    <row r="98" spans="1:10" x14ac:dyDescent="0.25">
      <c r="A98" s="23"/>
      <c r="B98" s="26"/>
      <c r="C98" s="97"/>
      <c r="D98" s="98"/>
      <c r="E98" s="81"/>
      <c r="F98" s="81"/>
      <c r="G98" s="22" t="s">
        <v>75</v>
      </c>
      <c r="H98" s="29" t="s">
        <v>49</v>
      </c>
      <c r="I98" s="132">
        <v>3000</v>
      </c>
      <c r="J98" s="44">
        <v>6000</v>
      </c>
    </row>
    <row r="99" spans="1:10" x14ac:dyDescent="0.25">
      <c r="A99" s="22" t="s">
        <v>155</v>
      </c>
      <c r="B99" s="29" t="s">
        <v>49</v>
      </c>
      <c r="C99" s="129">
        <f>C97*C95*12</f>
        <v>12000</v>
      </c>
      <c r="D99" s="100">
        <v>0</v>
      </c>
      <c r="E99" s="99" t="s">
        <v>153</v>
      </c>
      <c r="F99" s="81"/>
      <c r="G99" s="10"/>
      <c r="H99" s="10"/>
      <c r="I99" s="117"/>
    </row>
    <row r="100" spans="1:10" ht="15.5" x14ac:dyDescent="0.25">
      <c r="A100" s="359"/>
      <c r="B100" s="359"/>
      <c r="C100" s="359"/>
      <c r="D100" s="12"/>
      <c r="E100" s="81"/>
      <c r="F100" s="81"/>
      <c r="G100" s="18" t="s">
        <v>78</v>
      </c>
      <c r="H100" s="18"/>
      <c r="I100" s="18"/>
      <c r="J100" s="116"/>
    </row>
    <row r="101" spans="1:10" x14ac:dyDescent="0.25">
      <c r="A101" s="23" t="s">
        <v>90</v>
      </c>
      <c r="B101" s="21" t="s">
        <v>9</v>
      </c>
      <c r="C101" s="35">
        <v>24</v>
      </c>
      <c r="D101" s="35"/>
      <c r="E101" s="81"/>
      <c r="F101" s="81"/>
      <c r="G101" s="10"/>
      <c r="H101" s="10"/>
      <c r="I101" s="117"/>
      <c r="J101"/>
    </row>
    <row r="102" spans="1:10" x14ac:dyDescent="0.25">
      <c r="A102" s="359"/>
      <c r="B102" s="359"/>
      <c r="C102" s="359"/>
      <c r="D102" s="12"/>
      <c r="E102" s="81"/>
      <c r="F102" s="81"/>
      <c r="G102" s="25" t="s">
        <v>80</v>
      </c>
      <c r="H102" s="26" t="s">
        <v>26</v>
      </c>
      <c r="I102" s="118"/>
      <c r="J102"/>
    </row>
    <row r="103" spans="1:10" x14ac:dyDescent="0.25">
      <c r="A103" s="23" t="s">
        <v>92</v>
      </c>
      <c r="B103" s="26" t="s">
        <v>7</v>
      </c>
      <c r="C103" s="63">
        <v>100</v>
      </c>
      <c r="D103" s="43"/>
      <c r="E103" s="81"/>
      <c r="F103" s="81"/>
      <c r="G103" s="22" t="s">
        <v>82</v>
      </c>
      <c r="H103" s="21" t="s">
        <v>9</v>
      </c>
      <c r="I103" s="35">
        <v>10</v>
      </c>
      <c r="J103" s="121">
        <v>2</v>
      </c>
    </row>
    <row r="104" spans="1:10" x14ac:dyDescent="0.25">
      <c r="A104" s="359"/>
      <c r="B104" s="359"/>
      <c r="C104" s="359"/>
      <c r="D104" s="12"/>
      <c r="E104" s="81"/>
      <c r="F104" s="81"/>
      <c r="G104" s="10" t="s">
        <v>30</v>
      </c>
      <c r="H104" s="10"/>
      <c r="I104" s="117"/>
      <c r="J104"/>
    </row>
    <row r="105" spans="1:10" ht="15.65" customHeight="1" x14ac:dyDescent="0.25">
      <c r="A105" s="22" t="s">
        <v>158</v>
      </c>
      <c r="B105" s="29" t="s">
        <v>49</v>
      </c>
      <c r="C105" s="129">
        <f>C101*C103</f>
        <v>2400</v>
      </c>
      <c r="D105" s="100">
        <v>0</v>
      </c>
      <c r="E105" s="99" t="s">
        <v>153</v>
      </c>
      <c r="F105" s="81"/>
      <c r="G105" s="32" t="s">
        <v>85</v>
      </c>
      <c r="H105" s="26" t="s">
        <v>7</v>
      </c>
      <c r="I105" s="122">
        <v>250</v>
      </c>
      <c r="J105" s="122">
        <v>250</v>
      </c>
    </row>
    <row r="106" spans="1:10" ht="15.75" customHeight="1" x14ac:dyDescent="0.25">
      <c r="A106" s="12"/>
      <c r="B106" s="12"/>
      <c r="C106" s="12"/>
      <c r="D106" s="12"/>
      <c r="E106" s="81"/>
      <c r="F106" s="81"/>
      <c r="G106" s="10" t="s">
        <v>30</v>
      </c>
      <c r="H106" s="10"/>
      <c r="I106" s="117"/>
      <c r="J106"/>
    </row>
    <row r="107" spans="1:10" ht="14.4" customHeight="1" x14ac:dyDescent="0.25">
      <c r="A107" s="23" t="s">
        <v>94</v>
      </c>
      <c r="B107" s="21" t="s">
        <v>9</v>
      </c>
      <c r="C107" s="35">
        <v>5</v>
      </c>
      <c r="D107" s="35"/>
      <c r="E107" s="99" t="s">
        <v>153</v>
      </c>
      <c r="F107" s="81"/>
      <c r="G107" s="22" t="s">
        <v>87</v>
      </c>
      <c r="H107" s="29" t="s">
        <v>49</v>
      </c>
      <c r="I107" s="132">
        <f>(I103*I105)*12</f>
        <v>30000</v>
      </c>
      <c r="J107" s="44">
        <f>(J103*J105)*12</f>
        <v>6000</v>
      </c>
    </row>
    <row r="108" spans="1:10" x14ac:dyDescent="0.25">
      <c r="A108" s="359"/>
      <c r="B108" s="359"/>
      <c r="C108" s="359"/>
      <c r="D108" s="12"/>
      <c r="E108" s="81"/>
      <c r="F108" s="81"/>
      <c r="G108" s="10"/>
      <c r="H108" s="10"/>
      <c r="I108" s="117"/>
    </row>
    <row r="109" spans="1:10" x14ac:dyDescent="0.25">
      <c r="A109" s="23" t="s">
        <v>95</v>
      </c>
      <c r="B109" s="26" t="s">
        <v>7</v>
      </c>
      <c r="C109" s="63">
        <v>500</v>
      </c>
      <c r="D109" s="43"/>
      <c r="E109" s="99"/>
      <c r="F109" s="81"/>
      <c r="G109" s="25" t="s">
        <v>89</v>
      </c>
      <c r="H109" s="26" t="s">
        <v>7</v>
      </c>
      <c r="I109" s="119"/>
    </row>
    <row r="110" spans="1:10" x14ac:dyDescent="0.25">
      <c r="A110" s="23"/>
      <c r="B110" s="26"/>
      <c r="C110" s="97"/>
      <c r="D110" s="98"/>
      <c r="E110" s="99"/>
      <c r="F110" s="81"/>
      <c r="G110" s="10"/>
      <c r="H110" s="10"/>
      <c r="I110" s="117"/>
    </row>
    <row r="111" spans="1:10" ht="15.65" customHeight="1" x14ac:dyDescent="0.25">
      <c r="A111" s="22" t="s">
        <v>154</v>
      </c>
      <c r="B111" s="29" t="s">
        <v>49</v>
      </c>
      <c r="C111" s="129">
        <f>C109*C107*12</f>
        <v>30000</v>
      </c>
      <c r="D111" s="104">
        <v>0</v>
      </c>
      <c r="E111" s="361" t="s">
        <v>153</v>
      </c>
      <c r="F111" s="81"/>
      <c r="G111" s="18" t="s">
        <v>91</v>
      </c>
      <c r="H111" s="18"/>
      <c r="I111" s="18"/>
      <c r="J111" s="113"/>
    </row>
    <row r="112" spans="1:10" x14ac:dyDescent="0.25">
      <c r="A112" s="22" t="s">
        <v>156</v>
      </c>
      <c r="B112" s="26" t="s">
        <v>7</v>
      </c>
      <c r="C112" s="91"/>
      <c r="D112" s="104">
        <f>C111-D111</f>
        <v>30000</v>
      </c>
      <c r="E112" s="361"/>
      <c r="F112" s="81"/>
      <c r="G112" s="10"/>
      <c r="H112" s="10"/>
      <c r="I112" s="117"/>
      <c r="J112" s="76"/>
    </row>
    <row r="113" spans="1:11" x14ac:dyDescent="0.25">
      <c r="A113" s="22" t="s">
        <v>157</v>
      </c>
      <c r="B113" s="26" t="s">
        <v>37</v>
      </c>
      <c r="C113" s="102"/>
      <c r="D113" s="103">
        <f>D112/C36</f>
        <v>1304.3478260869565</v>
      </c>
      <c r="E113" s="361"/>
      <c r="F113" s="81"/>
      <c r="G113" s="20" t="s">
        <v>93</v>
      </c>
      <c r="H113" s="26" t="s">
        <v>7</v>
      </c>
      <c r="I113" s="119">
        <v>250</v>
      </c>
      <c r="J113" s="119">
        <v>50</v>
      </c>
    </row>
    <row r="114" spans="1:11" x14ac:dyDescent="0.25">
      <c r="A114" s="22"/>
      <c r="B114" s="26"/>
      <c r="C114" s="93"/>
      <c r="D114" s="96"/>
      <c r="E114" s="106"/>
      <c r="F114" s="81"/>
      <c r="G114" s="10"/>
      <c r="H114" s="10"/>
      <c r="I114" s="117"/>
      <c r="J114" s="117"/>
    </row>
    <row r="115" spans="1:11" ht="29" x14ac:dyDescent="0.25">
      <c r="A115" s="105" t="s">
        <v>97</v>
      </c>
      <c r="B115" s="26" t="s">
        <v>18</v>
      </c>
      <c r="C115" s="41">
        <v>60</v>
      </c>
      <c r="D115" s="41">
        <v>20</v>
      </c>
      <c r="E115" s="99" t="s">
        <v>159</v>
      </c>
      <c r="F115" s="81"/>
      <c r="G115" s="20" t="s">
        <v>31</v>
      </c>
      <c r="H115" s="21" t="s">
        <v>9</v>
      </c>
      <c r="I115" s="57">
        <v>200</v>
      </c>
      <c r="J115" s="57">
        <v>200</v>
      </c>
    </row>
    <row r="116" spans="1:11" x14ac:dyDescent="0.25">
      <c r="A116" s="105" t="s">
        <v>160</v>
      </c>
      <c r="B116" s="26"/>
      <c r="C116" s="41">
        <v>3</v>
      </c>
      <c r="D116" s="41">
        <v>3</v>
      </c>
      <c r="E116" s="99"/>
      <c r="F116" s="81"/>
      <c r="G116" s="10" t="s">
        <v>96</v>
      </c>
      <c r="H116" s="10"/>
      <c r="I116" s="117"/>
      <c r="J116" s="10"/>
    </row>
    <row r="117" spans="1:11" x14ac:dyDescent="0.25">
      <c r="A117" s="105"/>
      <c r="B117" s="26"/>
      <c r="C117" s="107"/>
      <c r="D117" s="107"/>
      <c r="E117" s="81"/>
      <c r="F117" s="81"/>
      <c r="G117" s="23" t="s">
        <v>33</v>
      </c>
      <c r="H117" s="21" t="s">
        <v>9</v>
      </c>
      <c r="I117" s="57">
        <v>200</v>
      </c>
      <c r="J117" s="57">
        <v>200</v>
      </c>
    </row>
    <row r="118" spans="1:11" x14ac:dyDescent="0.25">
      <c r="A118" s="22" t="s">
        <v>161</v>
      </c>
      <c r="B118" s="29" t="s">
        <v>49</v>
      </c>
      <c r="C118" s="175">
        <f>C116*C115/60*$C$36*$C$40/5*$C$38</f>
        <v>552000</v>
      </c>
      <c r="D118" s="95">
        <f>D116*D115/60*$C$36*$C$40/5*$C$38</f>
        <v>184000</v>
      </c>
      <c r="E118" s="81"/>
      <c r="F118" s="81"/>
      <c r="G118" s="10" t="s">
        <v>98</v>
      </c>
      <c r="H118" s="10"/>
      <c r="I118" s="117"/>
      <c r="J118" s="10"/>
    </row>
    <row r="119" spans="1:11" x14ac:dyDescent="0.25">
      <c r="A119" s="22" t="s">
        <v>162</v>
      </c>
      <c r="B119" s="26" t="s">
        <v>7</v>
      </c>
      <c r="C119" s="102"/>
      <c r="D119" s="103">
        <f>C118-D118</f>
        <v>368000</v>
      </c>
      <c r="E119" s="81"/>
      <c r="F119" s="81"/>
      <c r="G119" s="22" t="s">
        <v>99</v>
      </c>
      <c r="H119" s="29" t="s">
        <v>49</v>
      </c>
      <c r="I119" s="132">
        <f>I113*I115</f>
        <v>50000</v>
      </c>
      <c r="J119" s="44">
        <f>J113*J115</f>
        <v>10000</v>
      </c>
    </row>
    <row r="120" spans="1:11" x14ac:dyDescent="0.25">
      <c r="A120" s="22" t="s">
        <v>157</v>
      </c>
      <c r="B120" s="26" t="s">
        <v>37</v>
      </c>
      <c r="C120" s="102"/>
      <c r="D120" s="103">
        <f>D119/C36</f>
        <v>16000</v>
      </c>
      <c r="E120" s="81"/>
      <c r="F120" s="81"/>
      <c r="G120" s="10"/>
    </row>
    <row r="121" spans="1:11" ht="15.65" customHeight="1" x14ac:dyDescent="0.25">
      <c r="A121" s="360"/>
      <c r="B121" s="360"/>
      <c r="C121" s="360"/>
      <c r="D121" s="101"/>
      <c r="E121" s="88"/>
      <c r="F121" s="81"/>
      <c r="G121" s="14" t="s">
        <v>101</v>
      </c>
      <c r="H121" s="14"/>
      <c r="I121" s="364" t="s">
        <v>141</v>
      </c>
      <c r="J121" s="358" t="s">
        <v>142</v>
      </c>
    </row>
    <row r="122" spans="1:11" ht="14.4" customHeight="1" x14ac:dyDescent="0.25">
      <c r="A122" s="363" t="s">
        <v>100</v>
      </c>
      <c r="B122" s="363"/>
      <c r="C122" s="364" t="s">
        <v>141</v>
      </c>
      <c r="D122" s="358" t="s">
        <v>142</v>
      </c>
      <c r="E122" s="81"/>
      <c r="F122" s="81"/>
      <c r="G122" s="14"/>
      <c r="H122" s="14"/>
      <c r="I122" s="364"/>
      <c r="J122" s="358"/>
    </row>
    <row r="123" spans="1:11" x14ac:dyDescent="0.25">
      <c r="A123" s="363"/>
      <c r="B123" s="363"/>
      <c r="C123" s="364"/>
      <c r="D123" s="358"/>
      <c r="E123" s="81"/>
      <c r="F123" s="81"/>
      <c r="G123" s="61"/>
      <c r="H123" s="61"/>
      <c r="I123" s="364"/>
      <c r="J123" s="358"/>
    </row>
    <row r="124" spans="1:11" x14ac:dyDescent="0.25">
      <c r="A124" s="359"/>
      <c r="B124" s="359"/>
      <c r="C124" s="359"/>
      <c r="D124" s="12"/>
      <c r="E124" s="81"/>
      <c r="F124" s="81"/>
      <c r="G124" s="10"/>
      <c r="H124" s="10"/>
      <c r="I124" s="10"/>
    </row>
    <row r="125" spans="1:11" x14ac:dyDescent="0.25">
      <c r="A125" s="23" t="s">
        <v>102</v>
      </c>
      <c r="B125" s="21" t="s">
        <v>9</v>
      </c>
      <c r="C125" s="35">
        <v>10</v>
      </c>
      <c r="D125" s="35">
        <v>8</v>
      </c>
      <c r="E125" s="99" t="s">
        <v>163</v>
      </c>
      <c r="F125" s="81"/>
      <c r="G125" s="20" t="s">
        <v>103</v>
      </c>
      <c r="H125" s="26" t="s">
        <v>7</v>
      </c>
      <c r="I125" s="120">
        <v>500000</v>
      </c>
      <c r="J125" s="123"/>
    </row>
    <row r="126" spans="1:11" x14ac:dyDescent="0.25">
      <c r="A126" s="368" t="s">
        <v>30</v>
      </c>
      <c r="B126" s="368"/>
      <c r="C126" s="368"/>
      <c r="D126" s="10"/>
      <c r="E126" s="81"/>
      <c r="F126" s="81"/>
      <c r="G126" s="10"/>
      <c r="H126" s="10"/>
      <c r="I126" s="10"/>
    </row>
    <row r="127" spans="1:11" x14ac:dyDescent="0.25">
      <c r="A127" s="65" t="s">
        <v>45</v>
      </c>
      <c r="B127" s="66" t="s">
        <v>7</v>
      </c>
      <c r="C127" s="67">
        <v>250</v>
      </c>
      <c r="D127" s="67">
        <v>250</v>
      </c>
      <c r="E127" s="81"/>
      <c r="F127" s="81"/>
      <c r="G127" s="20" t="s">
        <v>104</v>
      </c>
      <c r="H127" s="26" t="s">
        <v>18</v>
      </c>
      <c r="I127" s="41">
        <f>2*60</f>
        <v>120</v>
      </c>
      <c r="J127" s="90">
        <v>20</v>
      </c>
      <c r="K127" s="110" t="s">
        <v>175</v>
      </c>
    </row>
    <row r="128" spans="1:11" x14ac:dyDescent="0.25">
      <c r="A128" s="372" t="s">
        <v>74</v>
      </c>
      <c r="B128" s="372"/>
      <c r="C128" s="372"/>
      <c r="D128" s="68"/>
      <c r="E128" s="81"/>
      <c r="F128" s="81"/>
      <c r="G128" s="10"/>
      <c r="H128" s="10"/>
      <c r="I128" s="10"/>
    </row>
    <row r="129" spans="1:10" x14ac:dyDescent="0.25">
      <c r="A129" s="69" t="s">
        <v>105</v>
      </c>
      <c r="B129" s="70" t="s">
        <v>49</v>
      </c>
      <c r="C129" s="159">
        <v>30000</v>
      </c>
      <c r="D129" s="71">
        <v>14400</v>
      </c>
      <c r="E129" s="81"/>
      <c r="F129" s="81"/>
      <c r="G129" s="20" t="s">
        <v>106</v>
      </c>
      <c r="H129" s="21" t="s">
        <v>9</v>
      </c>
      <c r="I129" s="35">
        <v>4</v>
      </c>
      <c r="J129" s="90">
        <v>4</v>
      </c>
    </row>
    <row r="130" spans="1:10" x14ac:dyDescent="0.25">
      <c r="A130" s="359"/>
      <c r="B130" s="359"/>
      <c r="C130" s="359"/>
      <c r="D130" s="12"/>
      <c r="E130" s="81"/>
      <c r="F130" s="81"/>
      <c r="G130" s="20"/>
      <c r="H130" s="21"/>
      <c r="I130" s="48"/>
      <c r="J130" s="124"/>
    </row>
    <row r="131" spans="1:10" ht="15.65" customHeight="1" x14ac:dyDescent="0.25">
      <c r="A131" s="23" t="s">
        <v>107</v>
      </c>
      <c r="B131" s="21" t="s">
        <v>9</v>
      </c>
      <c r="C131" s="35">
        <v>5</v>
      </c>
      <c r="D131" s="35">
        <v>5</v>
      </c>
      <c r="E131" s="81"/>
      <c r="F131" s="81"/>
      <c r="G131" s="22" t="s">
        <v>172</v>
      </c>
      <c r="H131" s="29" t="s">
        <v>49</v>
      </c>
      <c r="I131" s="177">
        <f>I129*I127/60*$C$36*12</f>
        <v>2208</v>
      </c>
      <c r="J131" s="125">
        <f>J129*J127/60*$C$36*12</f>
        <v>368</v>
      </c>
    </row>
    <row r="132" spans="1:10" x14ac:dyDescent="0.25">
      <c r="A132" s="359"/>
      <c r="B132" s="359"/>
      <c r="C132" s="359"/>
      <c r="D132" s="12"/>
      <c r="E132" s="81"/>
      <c r="F132" s="81"/>
      <c r="G132" s="22" t="s">
        <v>173</v>
      </c>
      <c r="H132" s="29" t="s">
        <v>7</v>
      </c>
      <c r="I132" s="125"/>
      <c r="J132" s="126">
        <f>I131-J131</f>
        <v>1840</v>
      </c>
    </row>
    <row r="133" spans="1:10" ht="14.4" customHeight="1" x14ac:dyDescent="0.25">
      <c r="A133" s="371" t="s">
        <v>122</v>
      </c>
      <c r="B133" s="26"/>
      <c r="C133" s="5"/>
      <c r="D133" s="5"/>
      <c r="E133" s="81"/>
      <c r="F133" s="81"/>
      <c r="G133" s="22" t="s">
        <v>174</v>
      </c>
      <c r="H133" s="29" t="s">
        <v>37</v>
      </c>
      <c r="I133" s="35"/>
      <c r="J133" s="90">
        <f>J132/C36</f>
        <v>80</v>
      </c>
    </row>
    <row r="134" spans="1:10" x14ac:dyDescent="0.25">
      <c r="A134" s="371"/>
      <c r="B134" s="26" t="s">
        <v>18</v>
      </c>
      <c r="C134" s="41">
        <v>120</v>
      </c>
      <c r="D134" s="41">
        <v>60</v>
      </c>
      <c r="E134" s="81"/>
      <c r="F134" s="81"/>
      <c r="G134" s="10"/>
      <c r="H134" s="10"/>
      <c r="I134" s="10"/>
      <c r="J134" s="10"/>
    </row>
    <row r="135" spans="1:10" ht="15.5" x14ac:dyDescent="0.25">
      <c r="A135" s="31" t="s">
        <v>121</v>
      </c>
      <c r="B135" s="26" t="s">
        <v>7</v>
      </c>
      <c r="C135" s="158">
        <v>552</v>
      </c>
      <c r="D135" s="74">
        <v>276</v>
      </c>
      <c r="E135" s="81"/>
      <c r="F135" s="81"/>
      <c r="G135" s="14" t="s">
        <v>1</v>
      </c>
      <c r="H135" s="14"/>
      <c r="I135" s="364" t="s">
        <v>141</v>
      </c>
      <c r="J135" s="358" t="s">
        <v>142</v>
      </c>
    </row>
    <row r="136" spans="1:10" ht="15.5" x14ac:dyDescent="0.25">
      <c r="A136" s="31"/>
      <c r="B136" s="26"/>
      <c r="C136" s="89"/>
      <c r="D136" s="89"/>
      <c r="E136" s="86"/>
      <c r="F136" s="81"/>
      <c r="G136" s="14"/>
      <c r="H136" s="14"/>
      <c r="I136" s="364"/>
      <c r="J136" s="358"/>
    </row>
    <row r="137" spans="1:10" x14ac:dyDescent="0.25">
      <c r="A137" s="363" t="s">
        <v>109</v>
      </c>
      <c r="B137" s="363"/>
      <c r="C137" s="364" t="s">
        <v>141</v>
      </c>
      <c r="D137" s="358" t="s">
        <v>142</v>
      </c>
      <c r="E137" s="81"/>
      <c r="F137" s="81"/>
      <c r="G137" s="10"/>
      <c r="H137" s="10"/>
      <c r="I137" s="10"/>
      <c r="J137" s="10"/>
    </row>
    <row r="138" spans="1:10" x14ac:dyDescent="0.25">
      <c r="A138" s="363"/>
      <c r="B138" s="363"/>
      <c r="C138" s="364"/>
      <c r="D138" s="358"/>
      <c r="E138" s="81"/>
      <c r="F138" s="81"/>
      <c r="G138" s="20" t="s">
        <v>108</v>
      </c>
      <c r="H138" s="26" t="s">
        <v>26</v>
      </c>
      <c r="I138" s="37"/>
      <c r="J138" s="37"/>
    </row>
    <row r="139" spans="1:10" ht="15.5" x14ac:dyDescent="0.25">
      <c r="A139" s="363"/>
      <c r="B139" s="363"/>
      <c r="C139" s="53"/>
      <c r="D139" s="16"/>
      <c r="E139" s="81"/>
      <c r="F139" s="81"/>
      <c r="G139" s="20"/>
      <c r="H139" s="26"/>
      <c r="I139" s="37"/>
      <c r="J139" s="37"/>
    </row>
    <row r="140" spans="1:10" x14ac:dyDescent="0.25">
      <c r="A140" s="359"/>
      <c r="B140" s="359"/>
      <c r="C140" s="359"/>
      <c r="D140" s="12"/>
      <c r="E140" s="81"/>
      <c r="G140" s="10"/>
      <c r="H140" s="10"/>
      <c r="I140" s="10"/>
      <c r="J140" s="10"/>
    </row>
    <row r="141" spans="1:10" x14ac:dyDescent="0.25">
      <c r="A141" s="20" t="s">
        <v>113</v>
      </c>
      <c r="B141" s="21" t="s">
        <v>37</v>
      </c>
      <c r="C141" s="35">
        <v>2</v>
      </c>
      <c r="D141" s="35">
        <v>2</v>
      </c>
      <c r="E141" s="81"/>
      <c r="G141" s="25" t="s">
        <v>110</v>
      </c>
      <c r="H141" s="26" t="s">
        <v>26</v>
      </c>
      <c r="I141" s="37"/>
      <c r="J141" s="37"/>
    </row>
    <row r="142" spans="1:10" x14ac:dyDescent="0.25">
      <c r="A142" s="368" t="s">
        <v>30</v>
      </c>
      <c r="B142" s="368"/>
      <c r="C142" s="368"/>
      <c r="D142" s="10"/>
      <c r="E142" s="81"/>
      <c r="G142" s="59" t="s">
        <v>111</v>
      </c>
      <c r="H142" s="60"/>
      <c r="I142" s="60"/>
    </row>
    <row r="143" spans="1:10" x14ac:dyDescent="0.25">
      <c r="A143" s="23" t="s">
        <v>28</v>
      </c>
      <c r="B143" s="21" t="s">
        <v>7</v>
      </c>
      <c r="C143" s="72">
        <v>23</v>
      </c>
      <c r="D143" s="72">
        <v>23</v>
      </c>
      <c r="G143" s="59" t="s">
        <v>112</v>
      </c>
      <c r="H143" s="60"/>
      <c r="I143" s="60"/>
    </row>
    <row r="144" spans="1:10" x14ac:dyDescent="0.25">
      <c r="A144" s="368" t="s">
        <v>46</v>
      </c>
      <c r="B144" s="368"/>
      <c r="C144" s="368"/>
      <c r="D144" s="10"/>
      <c r="G144" s="25"/>
      <c r="H144" s="25"/>
      <c r="I144" s="25"/>
    </row>
    <row r="145" spans="1:9" x14ac:dyDescent="0.25">
      <c r="A145" s="20" t="s">
        <v>31</v>
      </c>
      <c r="B145" s="26" t="s">
        <v>9</v>
      </c>
      <c r="C145" s="47">
        <v>100</v>
      </c>
      <c r="D145" s="47">
        <v>200</v>
      </c>
      <c r="G145" s="25" t="s">
        <v>133</v>
      </c>
      <c r="H145" s="25"/>
      <c r="I145" s="45"/>
    </row>
    <row r="146" spans="1:9" x14ac:dyDescent="0.25">
      <c r="A146" s="368" t="s">
        <v>96</v>
      </c>
      <c r="B146" s="368"/>
      <c r="C146" s="368"/>
      <c r="D146" s="10"/>
      <c r="G146" s="25"/>
      <c r="H146" s="25"/>
      <c r="I146" s="25"/>
    </row>
    <row r="147" spans="1:9" x14ac:dyDescent="0.25">
      <c r="A147" s="23" t="s">
        <v>33</v>
      </c>
      <c r="B147" s="26" t="s">
        <v>84</v>
      </c>
      <c r="C147" s="47">
        <v>180</v>
      </c>
      <c r="D147" s="47">
        <v>180</v>
      </c>
      <c r="G147" s="25" t="s">
        <v>134</v>
      </c>
      <c r="H147" s="26" t="s">
        <v>26</v>
      </c>
      <c r="I147" s="37"/>
    </row>
    <row r="148" spans="1:9" x14ac:dyDescent="0.25">
      <c r="A148" s="368" t="s">
        <v>98</v>
      </c>
      <c r="B148" s="368"/>
      <c r="C148" s="368"/>
      <c r="D148" s="10"/>
      <c r="G148" s="46" t="s">
        <v>135</v>
      </c>
      <c r="H148" s="25"/>
      <c r="I148" s="45"/>
    </row>
    <row r="149" spans="1:9" x14ac:dyDescent="0.25">
      <c r="A149" s="33" t="s">
        <v>114</v>
      </c>
      <c r="B149" s="29" t="s">
        <v>49</v>
      </c>
      <c r="C149" s="167">
        <f>C141*C143*C145*C147</f>
        <v>828000</v>
      </c>
      <c r="D149" s="71">
        <f>(1-D151)*C149</f>
        <v>579600</v>
      </c>
      <c r="G149" s="46" t="s">
        <v>136</v>
      </c>
      <c r="H149" s="25"/>
      <c r="I149" s="45"/>
    </row>
    <row r="150" spans="1:9" x14ac:dyDescent="0.25">
      <c r="A150" s="370"/>
      <c r="B150" s="370"/>
      <c r="C150" s="370"/>
      <c r="D150" s="11"/>
      <c r="G150" s="46" t="s">
        <v>137</v>
      </c>
      <c r="H150" s="25"/>
      <c r="I150" s="45"/>
    </row>
    <row r="151" spans="1:9" x14ac:dyDescent="0.25">
      <c r="A151" s="20" t="s">
        <v>115</v>
      </c>
      <c r="B151" s="21" t="s">
        <v>21</v>
      </c>
      <c r="C151" s="36"/>
      <c r="D151" s="170">
        <v>0.3</v>
      </c>
      <c r="G151" s="25" t="s">
        <v>138</v>
      </c>
      <c r="H151" s="25"/>
      <c r="I151" s="45"/>
    </row>
    <row r="152" spans="1:9" x14ac:dyDescent="0.25">
      <c r="A152" s="368" t="s">
        <v>30</v>
      </c>
      <c r="B152" s="368"/>
      <c r="C152" s="368"/>
      <c r="D152" s="10"/>
      <c r="G152" s="25"/>
      <c r="H152" s="25"/>
      <c r="I152" s="25"/>
    </row>
    <row r="153" spans="1:9" x14ac:dyDescent="0.25">
      <c r="A153" s="31" t="s">
        <v>116</v>
      </c>
      <c r="B153" s="29" t="s">
        <v>117</v>
      </c>
      <c r="C153" s="72"/>
      <c r="D153" s="87">
        <f>C149-D149</f>
        <v>248400</v>
      </c>
      <c r="G153" s="25"/>
    </row>
    <row r="154" spans="1:9" x14ac:dyDescent="0.25">
      <c r="G154" s="25"/>
      <c r="H154" s="25"/>
      <c r="I154" s="25"/>
    </row>
    <row r="155" spans="1:9" x14ac:dyDescent="0.25">
      <c r="A155" s="33" t="s">
        <v>118</v>
      </c>
      <c r="B155" s="29" t="s">
        <v>119</v>
      </c>
      <c r="C155" s="176">
        <f>C149/C36</f>
        <v>36000</v>
      </c>
      <c r="D155" s="179">
        <f>D153/C36</f>
        <v>10800</v>
      </c>
      <c r="G155" s="25"/>
      <c r="H155" s="25"/>
      <c r="I155" s="25"/>
    </row>
    <row r="156" spans="1:9" x14ac:dyDescent="0.25">
      <c r="A156" s="31"/>
      <c r="B156" s="29"/>
      <c r="C156" s="164"/>
      <c r="D156" s="165"/>
      <c r="G156" s="25"/>
      <c r="H156" s="25"/>
      <c r="I156" s="25"/>
    </row>
    <row r="157" spans="1:9" ht="18.5" x14ac:dyDescent="0.45">
      <c r="A157" s="135" t="s">
        <v>188</v>
      </c>
      <c r="B157" s="160"/>
      <c r="C157" s="166">
        <f>M8-B159</f>
        <v>629940</v>
      </c>
      <c r="G157" s="25"/>
    </row>
    <row r="158" spans="1:9" x14ac:dyDescent="0.25">
      <c r="A158"/>
      <c r="B158"/>
      <c r="G158" s="25"/>
    </row>
    <row r="159" spans="1:9" x14ac:dyDescent="0.25">
      <c r="A159" s="161" t="s">
        <v>184</v>
      </c>
      <c r="B159" s="162">
        <f>SUM(B160:B161)</f>
        <v>50100</v>
      </c>
      <c r="G159" s="25"/>
    </row>
    <row r="160" spans="1:9" x14ac:dyDescent="0.25">
      <c r="A160" s="163" t="s">
        <v>187</v>
      </c>
      <c r="B160" s="172">
        <v>45000</v>
      </c>
    </row>
    <row r="161" spans="1:3" x14ac:dyDescent="0.25">
      <c r="A161" s="163" t="s">
        <v>186</v>
      </c>
      <c r="B161" s="172">
        <f>12*425</f>
        <v>5100</v>
      </c>
    </row>
    <row r="162" spans="1:3" x14ac:dyDescent="0.25">
      <c r="B162" s="173"/>
    </row>
    <row r="163" spans="1:3" x14ac:dyDescent="0.25">
      <c r="B163" s="173"/>
    </row>
    <row r="164" spans="1:3" ht="18.5" x14ac:dyDescent="0.45">
      <c r="A164" s="135" t="s">
        <v>189</v>
      </c>
      <c r="B164" s="174"/>
      <c r="C164" s="166">
        <f>M9-B166</f>
        <v>256000</v>
      </c>
    </row>
    <row r="165" spans="1:3" x14ac:dyDescent="0.25">
      <c r="A165"/>
      <c r="B165" s="56"/>
    </row>
    <row r="166" spans="1:3" x14ac:dyDescent="0.25">
      <c r="A166" s="161" t="s">
        <v>191</v>
      </c>
      <c r="B166" s="172">
        <f>SUM(B167:B168)</f>
        <v>41000</v>
      </c>
    </row>
    <row r="167" spans="1:3" x14ac:dyDescent="0.25">
      <c r="A167" s="163" t="s">
        <v>192</v>
      </c>
      <c r="B167" s="172">
        <v>5000</v>
      </c>
    </row>
    <row r="168" spans="1:3" x14ac:dyDescent="0.25">
      <c r="A168" s="163" t="s">
        <v>190</v>
      </c>
      <c r="B168" s="172">
        <f>12*3000</f>
        <v>36000</v>
      </c>
    </row>
    <row r="170" spans="1:3" ht="18.5" x14ac:dyDescent="0.45">
      <c r="A170" s="135"/>
      <c r="B170" s="160"/>
    </row>
    <row r="192" spans="1:1" x14ac:dyDescent="0.25">
      <c r="A192" s="6" t="s">
        <v>77</v>
      </c>
    </row>
    <row r="193" spans="1:1" x14ac:dyDescent="0.25">
      <c r="A193" s="6" t="s">
        <v>120</v>
      </c>
    </row>
  </sheetData>
  <sheetProtection sheet="1" objects="1" scenarios="1" selectLockedCells="1"/>
  <mergeCells count="100">
    <mergeCell ref="I121:I123"/>
    <mergeCell ref="J121:J123"/>
    <mergeCell ref="I135:I136"/>
    <mergeCell ref="J135:J136"/>
    <mergeCell ref="G15:J15"/>
    <mergeCell ref="J17:J18"/>
    <mergeCell ref="G38:H39"/>
    <mergeCell ref="I38:I39"/>
    <mergeCell ref="J38:J39"/>
    <mergeCell ref="I61:I62"/>
    <mergeCell ref="J61:J62"/>
    <mergeCell ref="G42:I42"/>
    <mergeCell ref="G44:I44"/>
    <mergeCell ref="D45:D46"/>
    <mergeCell ref="A146:C146"/>
    <mergeCell ref="A148:C148"/>
    <mergeCell ref="A137:B139"/>
    <mergeCell ref="C137:C138"/>
    <mergeCell ref="A108:C108"/>
    <mergeCell ref="A132:C132"/>
    <mergeCell ref="A133:A134"/>
    <mergeCell ref="A126:C126"/>
    <mergeCell ref="A128:C128"/>
    <mergeCell ref="A130:C130"/>
    <mergeCell ref="A122:B123"/>
    <mergeCell ref="C122:C123"/>
    <mergeCell ref="A77:C77"/>
    <mergeCell ref="A63:C63"/>
    <mergeCell ref="A65:C65"/>
    <mergeCell ref="A88:C88"/>
    <mergeCell ref="A150:C150"/>
    <mergeCell ref="A152:C152"/>
    <mergeCell ref="A140:C140"/>
    <mergeCell ref="A142:C142"/>
    <mergeCell ref="A144:C144"/>
    <mergeCell ref="A43:C43"/>
    <mergeCell ref="A44:C44"/>
    <mergeCell ref="A59:C59"/>
    <mergeCell ref="A60:C60"/>
    <mergeCell ref="A61:C61"/>
    <mergeCell ref="A53:C53"/>
    <mergeCell ref="A55:C55"/>
    <mergeCell ref="A57:C57"/>
    <mergeCell ref="A47:C47"/>
    <mergeCell ref="A48:C48"/>
    <mergeCell ref="A49:C49"/>
    <mergeCell ref="A51:C51"/>
    <mergeCell ref="A45:B46"/>
    <mergeCell ref="C45:C46"/>
    <mergeCell ref="A21:C21"/>
    <mergeCell ref="G22:I22"/>
    <mergeCell ref="A23:C23"/>
    <mergeCell ref="A37:C37"/>
    <mergeCell ref="G40:I40"/>
    <mergeCell ref="A39:C39"/>
    <mergeCell ref="A25:C25"/>
    <mergeCell ref="G25:I25"/>
    <mergeCell ref="A27:C27"/>
    <mergeCell ref="G27:I27"/>
    <mergeCell ref="A29:C29"/>
    <mergeCell ref="G29:I29"/>
    <mergeCell ref="A41:C41"/>
    <mergeCell ref="A31:C31"/>
    <mergeCell ref="G31:I31"/>
    <mergeCell ref="A33:C33"/>
    <mergeCell ref="A34:C34"/>
    <mergeCell ref="A35:C35"/>
    <mergeCell ref="G37:I37"/>
    <mergeCell ref="A15:C15"/>
    <mergeCell ref="A16:C16"/>
    <mergeCell ref="G16:I16"/>
    <mergeCell ref="G17:H18"/>
    <mergeCell ref="I17:I18"/>
    <mergeCell ref="A19:C19"/>
    <mergeCell ref="G19:I19"/>
    <mergeCell ref="A20:C20"/>
    <mergeCell ref="A17:B18"/>
    <mergeCell ref="C17:C18"/>
    <mergeCell ref="D17:D18"/>
    <mergeCell ref="E111:E113"/>
    <mergeCell ref="A71:C71"/>
    <mergeCell ref="A73:C73"/>
    <mergeCell ref="A67:C67"/>
    <mergeCell ref="A69:C69"/>
    <mergeCell ref="A75:C75"/>
    <mergeCell ref="D85:D86"/>
    <mergeCell ref="A102:C102"/>
    <mergeCell ref="A70:C70"/>
    <mergeCell ref="A84:C84"/>
    <mergeCell ref="A100:C100"/>
    <mergeCell ref="A91:C91"/>
    <mergeCell ref="A94:C94"/>
    <mergeCell ref="A96:C96"/>
    <mergeCell ref="A85:B87"/>
    <mergeCell ref="C85:C86"/>
    <mergeCell ref="D137:D138"/>
    <mergeCell ref="A104:C104"/>
    <mergeCell ref="A121:C121"/>
    <mergeCell ref="A124:C124"/>
    <mergeCell ref="D122:D123"/>
  </mergeCells>
  <dataValidations disablePrompts="1" count="1">
    <dataValidation type="list" allowBlank="1" showInputMessage="1" showErrorMessage="1" sqref="C65:D65 C89 C75:D75 I84 I93 I25" xr:uid="{011FE9E4-5A2D-44AD-AE9C-60737C73743A}">
      <formula1>$A$192:$A$193</formula1>
    </dataValidation>
  </dataValidations>
  <pageMargins left="0.25" right="0.25" top="0.75" bottom="0.75" header="0.3" footer="0.3"/>
  <pageSetup scale="47" fitToHeight="0" orientation="landscape" r:id="rId1"/>
  <customProperties>
    <customPr name="_pios_id" r:id="rId2"/>
  </customProperties>
  <drawing r:id="rId3"/>
  <legacyDrawing r:id="rId4"/>
  <controls>
    <mc:AlternateContent xmlns:mc="http://schemas.openxmlformats.org/markup-compatibility/2006">
      <mc:Choice Requires="x14">
        <control shapeId="1025" r:id="rId5" name="CommandButtonQuestions">
          <controlPr defaultSize="0" autoLine="0" r:id="rId6">
            <anchor moveWithCells="1">
              <from>
                <xdr:col>0</xdr:col>
                <xdr:colOff>63500</xdr:colOff>
                <xdr:row>4</xdr:row>
                <xdr:rowOff>69850</xdr:rowOff>
              </from>
              <to>
                <xdr:col>0</xdr:col>
                <xdr:colOff>1631950</xdr:colOff>
                <xdr:row>6</xdr:row>
                <xdr:rowOff>234950</xdr:rowOff>
              </to>
            </anchor>
          </controlPr>
        </control>
      </mc:Choice>
      <mc:Fallback>
        <control shapeId="1025" r:id="rId5" name="CommandButtonQuestion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8277A-CF89-4B32-A6C0-2B4584149143}">
  <sheetPr codeName="Sheet3"/>
  <dimension ref="A1:M14"/>
  <sheetViews>
    <sheetView showGridLines="0" zoomScale="90" zoomScaleNormal="90" workbookViewId="0">
      <pane ySplit="2" topLeftCell="A3" activePane="bottomLeft" state="frozen"/>
      <selection pane="bottomLeft" activeCell="A7" sqref="A7"/>
    </sheetView>
  </sheetViews>
  <sheetFormatPr defaultColWidth="8.90625" defaultRowHeight="15.5" x14ac:dyDescent="0.35"/>
  <cols>
    <col min="1" max="1" width="62.1796875" style="204" customWidth="1"/>
    <col min="2" max="2" width="9.453125" style="203" bestFit="1" customWidth="1"/>
    <col min="3" max="3" width="12.81640625" style="203" customWidth="1"/>
    <col min="4" max="4" width="2.36328125" style="204" customWidth="1"/>
    <col min="5" max="5" width="61.90625" style="204" customWidth="1"/>
    <col min="6" max="6" width="9.54296875" style="203" customWidth="1"/>
    <col min="7" max="7" width="12.81640625" style="203" customWidth="1"/>
    <col min="8" max="8" width="2.453125" style="205" customWidth="1"/>
    <col min="9" max="9" width="61.36328125" style="204" customWidth="1"/>
    <col min="10" max="10" width="11.08984375" style="203" customWidth="1"/>
    <col min="11" max="11" width="12.81640625" style="203" customWidth="1"/>
    <col min="12" max="12" width="8.90625" style="204"/>
    <col min="13" max="13" width="23.90625" style="204" customWidth="1"/>
    <col min="14" max="16384" width="8.90625" style="204"/>
  </cols>
  <sheetData>
    <row r="1" spans="1:13" s="221" customFormat="1" ht="19.75" customHeight="1" x14ac:dyDescent="0.35">
      <c r="A1" s="207" t="s">
        <v>130</v>
      </c>
      <c r="B1" s="222" t="s">
        <v>7</v>
      </c>
      <c r="C1" s="222" t="s">
        <v>37</v>
      </c>
      <c r="D1" s="223"/>
      <c r="E1" s="207" t="s">
        <v>131</v>
      </c>
      <c r="F1" s="222" t="s">
        <v>7</v>
      </c>
      <c r="G1" s="222" t="s">
        <v>37</v>
      </c>
      <c r="H1" s="224"/>
      <c r="I1" s="207" t="s">
        <v>179</v>
      </c>
      <c r="J1" s="222" t="s">
        <v>7</v>
      </c>
      <c r="K1" s="222" t="s">
        <v>37</v>
      </c>
      <c r="L1" s="351" t="s">
        <v>251</v>
      </c>
      <c r="M1" s="351"/>
    </row>
    <row r="2" spans="1:13" s="219" customFormat="1" ht="16.25" customHeight="1" x14ac:dyDescent="0.35">
      <c r="A2" s="213"/>
      <c r="B2" s="214">
        <f>SUM(B4:B8)</f>
        <v>120000</v>
      </c>
      <c r="C2" s="215">
        <f>B2/'Resource Mgmt - High Perf Tools'!C36</f>
        <v>5217.391304347826</v>
      </c>
      <c r="D2" s="216"/>
      <c r="E2" s="213"/>
      <c r="F2" s="214">
        <f>SUM(F4:F8)</f>
        <v>10000</v>
      </c>
      <c r="G2" s="215">
        <f>F2/'Resource Mgmt - High Perf Tools'!C36</f>
        <v>434.78260869565219</v>
      </c>
      <c r="H2" s="217"/>
      <c r="I2" s="213"/>
      <c r="J2" s="209">
        <f>B2-F2</f>
        <v>110000</v>
      </c>
      <c r="K2" s="218">
        <f>C2-G2</f>
        <v>4782.608695652174</v>
      </c>
      <c r="L2" s="351"/>
      <c r="M2" s="351"/>
    </row>
    <row r="3" spans="1:13" s="199" customFormat="1" x14ac:dyDescent="0.35">
      <c r="B3" s="211"/>
      <c r="C3" s="327"/>
      <c r="F3" s="211"/>
      <c r="G3" s="327"/>
      <c r="H3" s="201"/>
      <c r="J3" s="211"/>
      <c r="K3" s="327"/>
    </row>
    <row r="4" spans="1:13" s="199" customFormat="1" x14ac:dyDescent="0.35">
      <c r="A4" s="340" t="s">
        <v>258</v>
      </c>
      <c r="B4" s="331">
        <v>40000</v>
      </c>
      <c r="C4" s="212">
        <f>B4/'High Performing Tools'!$C$41</f>
        <v>571.42857142857144</v>
      </c>
      <c r="E4" s="345" t="str">
        <f>A4</f>
        <v>procedura1</v>
      </c>
      <c r="F4" s="331">
        <v>2000</v>
      </c>
      <c r="G4" s="212">
        <f>F4/'High Performing Tools'!$C$41</f>
        <v>28.571428571428573</v>
      </c>
      <c r="I4" s="345" t="str">
        <f>A4</f>
        <v>procedura1</v>
      </c>
      <c r="J4" s="343">
        <f>B4-F4</f>
        <v>38000</v>
      </c>
      <c r="K4" s="212">
        <f>J4/'High Performing Tools'!$C$41</f>
        <v>542.85714285714289</v>
      </c>
    </row>
    <row r="5" spans="1:13" s="199" customFormat="1" x14ac:dyDescent="0.35">
      <c r="A5" s="340" t="s">
        <v>259</v>
      </c>
      <c r="B5" s="331">
        <v>40000</v>
      </c>
      <c r="C5" s="212">
        <f>B5/'High Performing Tools'!$C$41</f>
        <v>571.42857142857144</v>
      </c>
      <c r="E5" s="345" t="str">
        <f t="shared" ref="E5:E8" si="0">A5</f>
        <v>procedura12</v>
      </c>
      <c r="F5" s="331">
        <v>1000</v>
      </c>
      <c r="G5" s="212">
        <f>F5/'High Performing Tools'!$C$41</f>
        <v>14.285714285714286</v>
      </c>
      <c r="I5" s="345" t="str">
        <f t="shared" ref="I5:I8" si="1">A5</f>
        <v>procedura12</v>
      </c>
      <c r="J5" s="343">
        <f>B5-F5</f>
        <v>39000</v>
      </c>
      <c r="K5" s="212">
        <f>J5/'High Performing Tools'!$C$41</f>
        <v>557.14285714285711</v>
      </c>
    </row>
    <row r="6" spans="1:13" s="199" customFormat="1" x14ac:dyDescent="0.35">
      <c r="A6" s="340" t="s">
        <v>260</v>
      </c>
      <c r="B6" s="331">
        <v>40000</v>
      </c>
      <c r="C6" s="212">
        <f>B6/'High Performing Tools'!$C$41</f>
        <v>571.42857142857144</v>
      </c>
      <c r="E6" s="345" t="str">
        <f t="shared" si="0"/>
        <v>procedura13</v>
      </c>
      <c r="F6" s="331">
        <v>7000</v>
      </c>
      <c r="G6" s="212">
        <f>F6/'High Performing Tools'!$C$41</f>
        <v>100</v>
      </c>
      <c r="I6" s="345" t="str">
        <f t="shared" si="1"/>
        <v>procedura13</v>
      </c>
      <c r="J6" s="343">
        <f>B6-F6</f>
        <v>33000</v>
      </c>
      <c r="K6" s="212">
        <f>J6/'High Performing Tools'!$C$41</f>
        <v>471.42857142857144</v>
      </c>
    </row>
    <row r="7" spans="1:13" s="199" customFormat="1" x14ac:dyDescent="0.35">
      <c r="A7" s="341"/>
      <c r="B7" s="342"/>
      <c r="C7" s="212">
        <f>B7/'High Performing Tools'!$C$41</f>
        <v>0</v>
      </c>
      <c r="E7" s="345">
        <f t="shared" si="0"/>
        <v>0</v>
      </c>
      <c r="F7" s="342"/>
      <c r="G7" s="212">
        <f>F7/'High Performing Tools'!$C$41</f>
        <v>0</v>
      </c>
      <c r="H7" s="201"/>
      <c r="I7" s="345">
        <f t="shared" si="1"/>
        <v>0</v>
      </c>
      <c r="J7" s="343">
        <f t="shared" ref="J7:J8" si="2">B7-F7</f>
        <v>0</v>
      </c>
      <c r="K7" s="212">
        <f>J7/'High Performing Tools'!$C$41</f>
        <v>0</v>
      </c>
    </row>
    <row r="8" spans="1:13" s="199" customFormat="1" x14ac:dyDescent="0.35">
      <c r="A8" s="341"/>
      <c r="B8" s="342"/>
      <c r="C8" s="212">
        <f>B8/'High Performing Tools'!$C$41</f>
        <v>0</v>
      </c>
      <c r="E8" s="345">
        <f t="shared" si="0"/>
        <v>0</v>
      </c>
      <c r="F8" s="342"/>
      <c r="G8" s="212">
        <f>F8/'High Performing Tools'!$C$41</f>
        <v>0</v>
      </c>
      <c r="H8" s="201"/>
      <c r="I8" s="345">
        <f t="shared" si="1"/>
        <v>0</v>
      </c>
      <c r="J8" s="343">
        <f t="shared" si="2"/>
        <v>0</v>
      </c>
      <c r="K8" s="212">
        <f>J8/'High Performing Tools'!$C$41</f>
        <v>0</v>
      </c>
    </row>
    <row r="9" spans="1:13" x14ac:dyDescent="0.35">
      <c r="A9" s="207" t="s">
        <v>181</v>
      </c>
      <c r="B9" s="208">
        <f>(B2-F2)/B11</f>
        <v>12.532756066993278</v>
      </c>
      <c r="C9" s="209">
        <f>J2-B11</f>
        <v>101223</v>
      </c>
    </row>
    <row r="10" spans="1:13" s="199" customFormat="1" x14ac:dyDescent="0.35">
      <c r="B10" s="200"/>
      <c r="C10" s="200"/>
      <c r="F10" s="200"/>
      <c r="G10" s="200"/>
      <c r="H10" s="201"/>
      <c r="J10" s="200"/>
      <c r="K10" s="200"/>
    </row>
    <row r="11" spans="1:13" s="199" customFormat="1" x14ac:dyDescent="0.35">
      <c r="A11" s="326" t="s">
        <v>184</v>
      </c>
      <c r="B11" s="211">
        <v>8777</v>
      </c>
      <c r="C11" s="200"/>
      <c r="F11" s="200"/>
      <c r="G11" s="200"/>
      <c r="J11" s="200"/>
      <c r="K11" s="200"/>
    </row>
    <row r="12" spans="1:13" s="199" customFormat="1" x14ac:dyDescent="0.35">
      <c r="A12" s="325" t="s">
        <v>182</v>
      </c>
      <c r="B12" s="331">
        <v>676</v>
      </c>
      <c r="C12" s="200"/>
      <c r="F12" s="200"/>
      <c r="G12" s="200"/>
      <c r="J12" s="200"/>
      <c r="K12" s="200"/>
    </row>
    <row r="13" spans="1:13" s="199" customFormat="1" x14ac:dyDescent="0.35">
      <c r="A13" s="325" t="s">
        <v>183</v>
      </c>
      <c r="B13" s="331">
        <v>30000</v>
      </c>
      <c r="C13" s="200"/>
      <c r="F13" s="200"/>
      <c r="G13" s="200"/>
      <c r="J13" s="200"/>
      <c r="K13" s="200"/>
    </row>
    <row r="14" spans="1:13" s="199" customFormat="1" x14ac:dyDescent="0.35">
      <c r="B14" s="200"/>
      <c r="C14" s="200"/>
      <c r="F14" s="200"/>
      <c r="G14" s="200"/>
      <c r="H14" s="201"/>
      <c r="J14" s="200"/>
      <c r="K14" s="200"/>
    </row>
  </sheetData>
  <sheetProtection sheet="1" objects="1" scenarios="1" selectLockedCells="1"/>
  <mergeCells count="1">
    <mergeCell ref="L1:M2"/>
  </mergeCells>
  <pageMargins left="0.7" right="0.7" top="0.75" bottom="0.75" header="0.3" footer="0.3"/>
  <pageSetup orientation="portrait" r:id="rId1"/>
  <customProperties>
    <customPr name="_pios_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54C9F-B0E5-4E7F-9D66-E1A1CA194986}">
  <sheetPr codeName="Sheet4"/>
  <dimension ref="A1:M14"/>
  <sheetViews>
    <sheetView showGridLines="0" zoomScale="90" zoomScaleNormal="90" workbookViewId="0">
      <pane ySplit="2" topLeftCell="A3" activePane="bottomLeft" state="frozen"/>
      <selection pane="bottomLeft" activeCell="A7" sqref="A7"/>
    </sheetView>
  </sheetViews>
  <sheetFormatPr defaultColWidth="8.90625" defaultRowHeight="15.5" x14ac:dyDescent="0.35"/>
  <cols>
    <col min="1" max="1" width="49.08984375" style="204" customWidth="1"/>
    <col min="2" max="2" width="11.08984375" style="203" customWidth="1"/>
    <col min="3" max="3" width="12.81640625" style="203" customWidth="1"/>
    <col min="4" max="4" width="2.36328125" style="204" customWidth="1"/>
    <col min="5" max="5" width="49.08984375" style="204" customWidth="1"/>
    <col min="6" max="6" width="11.08984375" style="203" customWidth="1"/>
    <col min="7" max="7" width="12.81640625" style="203" customWidth="1"/>
    <col min="8" max="8" width="2.453125" style="205" customWidth="1"/>
    <col min="9" max="9" width="49.08984375" style="204" customWidth="1"/>
    <col min="10" max="10" width="11.08984375" style="203" customWidth="1"/>
    <col min="11" max="11" width="12.81640625" style="203" customWidth="1"/>
    <col min="12" max="12" width="8.90625" style="204"/>
    <col min="13" max="13" width="26.90625" style="204" customWidth="1"/>
    <col min="14" max="16384" width="8.90625" style="204"/>
  </cols>
  <sheetData>
    <row r="1" spans="1:13" s="221" customFormat="1" ht="21.65" customHeight="1" x14ac:dyDescent="0.35">
      <c r="A1" s="207" t="s">
        <v>130</v>
      </c>
      <c r="B1" s="222" t="s">
        <v>7</v>
      </c>
      <c r="C1" s="222" t="s">
        <v>37</v>
      </c>
      <c r="D1" s="223"/>
      <c r="E1" s="207" t="s">
        <v>131</v>
      </c>
      <c r="F1" s="222" t="s">
        <v>7</v>
      </c>
      <c r="G1" s="222" t="s">
        <v>37</v>
      </c>
      <c r="H1" s="224"/>
      <c r="I1" s="207" t="s">
        <v>179</v>
      </c>
      <c r="J1" s="222" t="s">
        <v>7</v>
      </c>
      <c r="K1" s="222" t="s">
        <v>37</v>
      </c>
      <c r="L1" s="351" t="s">
        <v>251</v>
      </c>
      <c r="M1" s="351"/>
    </row>
    <row r="2" spans="1:13" s="219" customFormat="1" x14ac:dyDescent="0.35">
      <c r="A2" s="213"/>
      <c r="B2" s="214">
        <f>SUM(B4:B8)</f>
        <v>90000</v>
      </c>
      <c r="C2" s="215">
        <f>SUM(C4:C8)</f>
        <v>1285.7142857142858</v>
      </c>
      <c r="D2" s="216"/>
      <c r="E2" s="213"/>
      <c r="F2" s="214">
        <f>SUM(F4:F8)</f>
        <v>11000</v>
      </c>
      <c r="G2" s="215">
        <f>SUM(G4:G8)</f>
        <v>157.14285714285717</v>
      </c>
      <c r="H2" s="217"/>
      <c r="I2" s="213"/>
      <c r="J2" s="209">
        <f>SUM(J4:J8)</f>
        <v>79000</v>
      </c>
      <c r="K2" s="218">
        <f>SUM(K4:K8)</f>
        <v>1128.5714285714284</v>
      </c>
      <c r="L2" s="351"/>
      <c r="M2" s="351"/>
    </row>
    <row r="3" spans="1:13" s="199" customFormat="1" x14ac:dyDescent="0.35">
      <c r="B3" s="211"/>
      <c r="C3" s="327"/>
      <c r="F3" s="211"/>
      <c r="G3" s="327"/>
      <c r="H3" s="201"/>
      <c r="J3" s="211"/>
      <c r="K3" s="327"/>
    </row>
    <row r="4" spans="1:13" s="199" customFormat="1" x14ac:dyDescent="0.35">
      <c r="A4" s="330" t="s">
        <v>252</v>
      </c>
      <c r="B4" s="331">
        <v>30000</v>
      </c>
      <c r="C4" s="212">
        <f>B4/'High Performing Tools'!$C$41</f>
        <v>428.57142857142856</v>
      </c>
      <c r="E4" s="326" t="str">
        <f>A4</f>
        <v>Elso procedura</v>
      </c>
      <c r="F4" s="331">
        <v>8000</v>
      </c>
      <c r="G4" s="212">
        <f>F4/'High Performing Tools'!$C$41</f>
        <v>114.28571428571429</v>
      </c>
      <c r="I4" s="326" t="str">
        <f>A4</f>
        <v>Elso procedura</v>
      </c>
      <c r="J4" s="343">
        <f>B4-F4</f>
        <v>22000</v>
      </c>
      <c r="K4" s="212">
        <f>J4/'High Performing Tools'!$C$41</f>
        <v>314.28571428571428</v>
      </c>
    </row>
    <row r="5" spans="1:13" s="199" customFormat="1" x14ac:dyDescent="0.35">
      <c r="A5" s="330" t="s">
        <v>253</v>
      </c>
      <c r="B5" s="331">
        <v>30000</v>
      </c>
      <c r="C5" s="212">
        <f>B5/'High Performing Tools'!$C$41</f>
        <v>428.57142857142856</v>
      </c>
      <c r="E5" s="326" t="str">
        <f t="shared" ref="E5:E8" si="0">A5</f>
        <v>Masodik</v>
      </c>
      <c r="F5" s="331">
        <v>1000</v>
      </c>
      <c r="G5" s="212">
        <f>F5/'High Performing Tools'!$C$41</f>
        <v>14.285714285714286</v>
      </c>
      <c r="I5" s="326" t="str">
        <f t="shared" ref="I5:I8" si="1">A5</f>
        <v>Masodik</v>
      </c>
      <c r="J5" s="343">
        <f t="shared" ref="J5:J8" si="2">B5-F5</f>
        <v>29000</v>
      </c>
      <c r="K5" s="212">
        <f>J5/'High Performing Tools'!$C$41</f>
        <v>414.28571428571428</v>
      </c>
    </row>
    <row r="6" spans="1:13" s="199" customFormat="1" x14ac:dyDescent="0.35">
      <c r="A6" s="330" t="s">
        <v>254</v>
      </c>
      <c r="B6" s="331">
        <v>30000</v>
      </c>
      <c r="C6" s="212">
        <f>B6/'High Performing Tools'!$C$41</f>
        <v>428.57142857142856</v>
      </c>
      <c r="E6" s="326" t="str">
        <f t="shared" si="0"/>
        <v>Harmadik</v>
      </c>
      <c r="F6" s="331">
        <v>2000</v>
      </c>
      <c r="G6" s="212">
        <f>F6/'High Performing Tools'!$C$41</f>
        <v>28.571428571428573</v>
      </c>
      <c r="I6" s="326" t="str">
        <f t="shared" si="1"/>
        <v>Harmadik</v>
      </c>
      <c r="J6" s="343">
        <f t="shared" si="2"/>
        <v>28000</v>
      </c>
      <c r="K6" s="212">
        <f>J6/'High Performing Tools'!$C$41</f>
        <v>400</v>
      </c>
    </row>
    <row r="7" spans="1:13" s="199" customFormat="1" x14ac:dyDescent="0.35">
      <c r="A7" s="225"/>
      <c r="B7" s="227"/>
      <c r="C7" s="212">
        <f>B7/'High Performing Tools'!$C$41</f>
        <v>0</v>
      </c>
      <c r="E7" s="199">
        <f t="shared" si="0"/>
        <v>0</v>
      </c>
      <c r="F7" s="227"/>
      <c r="G7" s="212">
        <f>F7/'High Performing Tools'!$C$41</f>
        <v>0</v>
      </c>
      <c r="H7" s="201"/>
      <c r="I7" s="199">
        <f t="shared" si="1"/>
        <v>0</v>
      </c>
      <c r="J7" s="343">
        <f t="shared" si="2"/>
        <v>0</v>
      </c>
      <c r="K7" s="212">
        <f>J7/'High Performing Tools'!$C$41</f>
        <v>0</v>
      </c>
    </row>
    <row r="8" spans="1:13" s="199" customFormat="1" x14ac:dyDescent="0.35">
      <c r="A8" s="225"/>
      <c r="B8" s="227"/>
      <c r="C8" s="212">
        <f>B8/'High Performing Tools'!$C$41</f>
        <v>0</v>
      </c>
      <c r="E8" s="199">
        <f t="shared" si="0"/>
        <v>0</v>
      </c>
      <c r="F8" s="227"/>
      <c r="G8" s="212">
        <f>F8/'High Performing Tools'!$C$41</f>
        <v>0</v>
      </c>
      <c r="H8" s="201"/>
      <c r="I8" s="199">
        <f t="shared" si="1"/>
        <v>0</v>
      </c>
      <c r="J8" s="343">
        <f t="shared" si="2"/>
        <v>0</v>
      </c>
      <c r="K8" s="212">
        <f>J8/'High Performing Tools'!$C$41</f>
        <v>0</v>
      </c>
    </row>
    <row r="9" spans="1:13" x14ac:dyDescent="0.35">
      <c r="A9" s="207" t="s">
        <v>181</v>
      </c>
      <c r="B9" s="332">
        <v>0.8</v>
      </c>
      <c r="C9" s="209">
        <f>J2-B11</f>
        <v>56000</v>
      </c>
    </row>
    <row r="10" spans="1:13" s="199" customFormat="1" x14ac:dyDescent="0.35">
      <c r="B10" s="200"/>
      <c r="C10" s="200"/>
      <c r="F10" s="200"/>
      <c r="G10" s="200"/>
      <c r="H10" s="201"/>
      <c r="J10" s="200"/>
      <c r="K10" s="200"/>
    </row>
    <row r="11" spans="1:13" s="199" customFormat="1" x14ac:dyDescent="0.35">
      <c r="A11" s="326" t="s">
        <v>184</v>
      </c>
      <c r="B11" s="211">
        <f>SUM(B12:B13)</f>
        <v>23000</v>
      </c>
      <c r="C11" s="200"/>
      <c r="F11" s="200"/>
      <c r="G11" s="200"/>
      <c r="J11" s="200"/>
      <c r="K11" s="200"/>
    </row>
    <row r="12" spans="1:13" s="199" customFormat="1" x14ac:dyDescent="0.35">
      <c r="A12" s="325" t="s">
        <v>182</v>
      </c>
      <c r="B12" s="331">
        <v>0</v>
      </c>
      <c r="C12" s="200"/>
      <c r="F12" s="200"/>
      <c r="G12" s="200"/>
      <c r="J12" s="200"/>
      <c r="K12" s="200"/>
    </row>
    <row r="13" spans="1:13" s="199" customFormat="1" x14ac:dyDescent="0.35">
      <c r="A13" s="325" t="s">
        <v>183</v>
      </c>
      <c r="B13" s="331">
        <v>23000</v>
      </c>
      <c r="C13" s="200"/>
      <c r="F13" s="200"/>
      <c r="G13" s="200"/>
      <c r="J13" s="200"/>
      <c r="K13" s="200"/>
    </row>
    <row r="14" spans="1:13" s="199" customFormat="1" x14ac:dyDescent="0.35">
      <c r="B14" s="200"/>
      <c r="C14" s="200"/>
      <c r="F14" s="200"/>
      <c r="G14" s="200"/>
      <c r="H14" s="201"/>
      <c r="J14" s="200"/>
      <c r="K14" s="200"/>
    </row>
  </sheetData>
  <sheetProtection sheet="1" objects="1" scenarios="1" selectLockedCells="1"/>
  <mergeCells count="1">
    <mergeCell ref="L1:M2"/>
  </mergeCells>
  <pageMargins left="0.7" right="0.7" top="0.75" bottom="0.75" header="0.3" footer="0.3"/>
  <customProperties>
    <customPr name="_pios_id" r:id="rId1"/>
  </customProperties>
</worksheet>
</file>

<file path=docMetadata/LabelInfo.xml><?xml version="1.0" encoding="utf-8"?>
<clbl:labelList xmlns:clbl="http://schemas.microsoft.com/office/2020/mipLabelMetadata">
  <clbl:label id="{f039b656-fc02-4e54-88ba-82626f29b5a1}" enabled="0" method="" siteId="{f039b656-fc02-4e54-88ba-82626f29b5a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Jobsite Management</vt:lpstr>
      <vt:lpstr>Resource Mgmt - NEW</vt:lpstr>
      <vt:lpstr>High Performing Tools</vt:lpstr>
      <vt:lpstr>Resource Mgmt - High Perf Tools</vt:lpstr>
      <vt:lpstr>VDC Prefab</vt:lpstr>
      <vt:lpstr>Work package Solutions</vt:lpstr>
      <vt:lpstr>D11C105</vt:lpstr>
    </vt:vector>
  </TitlesOfParts>
  <Company>Hilti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Mathew, Rita</dc:creator>
  <cp:lastModifiedBy>Zsolt Marton</cp:lastModifiedBy>
  <dcterms:created xsi:type="dcterms:W3CDTF">2024-02-08T21:18:48Z</dcterms:created>
  <dcterms:modified xsi:type="dcterms:W3CDTF">2024-07-09T11:44:12Z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